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drawings/drawing3.xml" ContentType="application/vnd.openxmlformats-officedocument.drawing+xml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drawings/drawing4.xml" ContentType="application/vnd.openxmlformats-officedocument.drawing+xml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drawings/drawing5.xml" ContentType="application/vnd.openxmlformats-officedocument.drawing+xml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drawings/drawing6.xml" ContentType="application/vnd.openxmlformats-officedocument.drawing+xml"/>
  <Override PartName="/xl/embeddings/oleObject51.bin" ContentType="application/vnd.openxmlformats-officedocument.oleObject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-ga\Desktop\pagamov_bot\docs\ВКр магистр\"/>
    </mc:Choice>
  </mc:AlternateContent>
  <xr:revisionPtr revIDLastSave="0" documentId="8_{1DBF65DD-6722-4D51-835C-B4C4257E351E}" xr6:coauthVersionLast="47" xr6:coauthVersionMax="47" xr10:uidLastSave="{00000000-0000-0000-0000-000000000000}"/>
  <bookViews>
    <workbookView xWindow="-110" yWindow="-110" windowWidth="37210" windowHeight="21820" tabRatio="801" firstSheet="4" activeTab="17" xr2:uid="{00000000-000D-0000-FFFF-FFFF00000000}"/>
  </bookViews>
  <sheets>
    <sheet name="блок-схема" sheetId="17" r:id="rId1"/>
    <sheet name="А1.1.1" sheetId="1" r:id="rId2"/>
    <sheet name="А1.2.1" sheetId="2" r:id="rId3"/>
    <sheet name="А1.2.2" sheetId="3" r:id="rId4"/>
    <sheet name="А1.2.3" sheetId="4" r:id="rId5"/>
    <sheet name="А1.3.1" sheetId="5" r:id="rId6"/>
    <sheet name="Б1.1.1" sheetId="20" r:id="rId7"/>
    <sheet name="В1.1.1" sheetId="6" r:id="rId8"/>
    <sheet name="В1.2.1" sheetId="7" r:id="rId9"/>
    <sheet name="В1.2.2" sheetId="8" r:id="rId10"/>
    <sheet name="В1.2.3" sheetId="9" r:id="rId11"/>
    <sheet name="В1.3.1" sheetId="10" r:id="rId12"/>
    <sheet name="Г1.1.1" sheetId="11" r:id="rId13"/>
    <sheet name="Д1.1.1" sheetId="12" r:id="rId14"/>
    <sheet name="Е1.1.1 и 1.1.2" sheetId="13" r:id="rId15"/>
    <sheet name="Е1.2.1 - 1.2.3" sheetId="14" r:id="rId16"/>
    <sheet name="Е1.3.1 - Е1.3.4" sheetId="15" r:id="rId17"/>
    <sheet name="Е1.4.1 - 1.4.4" sheetId="16" r:id="rId18"/>
    <sheet name="Лист1" sheetId="21" r:id="rId19"/>
  </sheets>
  <definedNames>
    <definedName name="_xlnm._FilterDatabase" localSheetId="6" hidden="1">'Б1.1.1'!$A$3:$B$53</definedName>
    <definedName name="_xlnm.Print_Area" localSheetId="1">'А1.1.1'!$A$1:$D$37</definedName>
    <definedName name="_xlnm.Print_Area" localSheetId="2">'А1.2.1'!$A$1:$D$35</definedName>
    <definedName name="_xlnm.Print_Area" localSheetId="3">'А1.2.2'!$A$1:$D$40</definedName>
    <definedName name="_xlnm.Print_Area" localSheetId="4">'А1.2.3'!$A$1:$D$12</definedName>
    <definedName name="_xlnm.Print_Area" localSheetId="6">'Б1.1.1'!$A$4:$G$46</definedName>
    <definedName name="_xlnm.Print_Area" localSheetId="0">'блок-схема'!$A$2:$U$40</definedName>
    <definedName name="_xlnm.Print_Area" localSheetId="17">'Е1.4.1 - 1.4.4'!$A$1:$D$54</definedName>
  </definedNames>
  <calcPr calcId="181029"/>
  <fileRecoveryPr repairLoad="1"/>
</workbook>
</file>

<file path=xl/calcChain.xml><?xml version="1.0" encoding="utf-8"?>
<calcChain xmlns="http://schemas.openxmlformats.org/spreadsheetml/2006/main">
  <c r="H11" i="8" l="1"/>
  <c r="Q15" i="10"/>
  <c r="B23" i="20"/>
  <c r="C9" i="11"/>
  <c r="D9" i="11" s="1"/>
  <c r="B47" i="20"/>
  <c r="B34" i="20"/>
  <c r="B26" i="20"/>
  <c r="B31" i="20"/>
  <c r="H13" i="9" s="1"/>
  <c r="B16" i="20"/>
  <c r="K28" i="7"/>
  <c r="K27" i="7" s="1"/>
  <c r="K26" i="7" s="1"/>
  <c r="D57" i="15"/>
  <c r="D10" i="6"/>
  <c r="E25" i="13" s="1"/>
  <c r="D17" i="6"/>
  <c r="D9" i="6"/>
  <c r="C9" i="6" s="1"/>
  <c r="D14" i="6"/>
  <c r="D37" i="6"/>
  <c r="D34" i="6" s="1"/>
  <c r="E33" i="7"/>
  <c r="E27" i="7"/>
  <c r="E26" i="7"/>
  <c r="E17" i="8"/>
  <c r="E9" i="9"/>
  <c r="E12" i="9"/>
  <c r="E8" i="9"/>
  <c r="E12" i="10"/>
  <c r="E31" i="13"/>
  <c r="E9" i="6"/>
  <c r="E14" i="6"/>
  <c r="E17" i="6"/>
  <c r="E37" i="6"/>
  <c r="E34" i="6" s="1"/>
  <c r="F9" i="6"/>
  <c r="F14" i="6"/>
  <c r="F17" i="6"/>
  <c r="F37" i="6"/>
  <c r="F34" i="6" s="1"/>
  <c r="F33" i="7"/>
  <c r="F27" i="7"/>
  <c r="F17" i="8"/>
  <c r="F9" i="9"/>
  <c r="F8" i="9"/>
  <c r="F12" i="10"/>
  <c r="F12" i="9"/>
  <c r="F31" i="13"/>
  <c r="G33" i="7"/>
  <c r="G27" i="7"/>
  <c r="G26" i="7"/>
  <c r="G17" i="8"/>
  <c r="G9" i="9"/>
  <c r="G8" i="9"/>
  <c r="G12" i="10"/>
  <c r="G12" i="9"/>
  <c r="G31" i="13"/>
  <c r="H11" i="7"/>
  <c r="H9" i="7" s="1"/>
  <c r="H19" i="8"/>
  <c r="H18" i="8"/>
  <c r="H20" i="8"/>
  <c r="H21" i="8"/>
  <c r="C8" i="11"/>
  <c r="S25" i="13"/>
  <c r="S27" i="7"/>
  <c r="S26" i="7"/>
  <c r="S9" i="9"/>
  <c r="S12" i="9"/>
  <c r="S8" i="9"/>
  <c r="S12" i="10"/>
  <c r="T25" i="13"/>
  <c r="T27" i="7"/>
  <c r="T26" i="7"/>
  <c r="T9" i="9"/>
  <c r="T12" i="9"/>
  <c r="T8" i="9"/>
  <c r="T12" i="10"/>
  <c r="P11" i="8"/>
  <c r="Q11" i="8" s="1"/>
  <c r="P14" i="8"/>
  <c r="R14" i="8" s="1"/>
  <c r="Q14" i="8"/>
  <c r="P19" i="8"/>
  <c r="R21" i="8" s="1"/>
  <c r="P11" i="7"/>
  <c r="P9" i="7" s="1"/>
  <c r="D11" i="11"/>
  <c r="I18" i="8"/>
  <c r="I19" i="8"/>
  <c r="I20" i="8"/>
  <c r="I21" i="8"/>
  <c r="J18" i="8"/>
  <c r="J19" i="8"/>
  <c r="J20" i="8"/>
  <c r="J21" i="8"/>
  <c r="K20" i="8"/>
  <c r="L20" i="8"/>
  <c r="M20" i="8"/>
  <c r="N20" i="8"/>
  <c r="O20" i="8"/>
  <c r="P20" i="8"/>
  <c r="K21" i="8"/>
  <c r="L21" i="8"/>
  <c r="L19" i="8"/>
  <c r="M21" i="8"/>
  <c r="M19" i="8"/>
  <c r="N21" i="8"/>
  <c r="O21" i="8"/>
  <c r="P21" i="8"/>
  <c r="Q12" i="8"/>
  <c r="R12" i="8"/>
  <c r="D9" i="15"/>
  <c r="D27" i="15"/>
  <c r="D42" i="15"/>
  <c r="B14" i="14"/>
  <c r="D8" i="13"/>
  <c r="S9" i="13"/>
  <c r="T9" i="13"/>
  <c r="K26" i="13"/>
  <c r="K10" i="13"/>
  <c r="L26" i="13"/>
  <c r="L10" i="13"/>
  <c r="M26" i="13"/>
  <c r="M10" i="13"/>
  <c r="N26" i="13"/>
  <c r="N10" i="13"/>
  <c r="O26" i="13"/>
  <c r="O10" i="13"/>
  <c r="P26" i="13"/>
  <c r="P10" i="13"/>
  <c r="D24" i="13"/>
  <c r="C24" i="13"/>
  <c r="D29" i="13"/>
  <c r="C29" i="13"/>
  <c r="H8" i="12"/>
  <c r="H12" i="12"/>
  <c r="H11" i="12"/>
  <c r="I8" i="12"/>
  <c r="I11" i="12"/>
  <c r="J8" i="12"/>
  <c r="K9" i="10"/>
  <c r="L9" i="10"/>
  <c r="M9" i="10"/>
  <c r="N9" i="10"/>
  <c r="O9" i="10"/>
  <c r="P9" i="10"/>
  <c r="E9" i="8"/>
  <c r="F9" i="8"/>
  <c r="G9" i="8"/>
  <c r="S9" i="8"/>
  <c r="T9" i="8"/>
  <c r="I11" i="8"/>
  <c r="J11" i="8"/>
  <c r="K11" i="8"/>
  <c r="L11" i="8"/>
  <c r="M11" i="8"/>
  <c r="N11" i="8"/>
  <c r="O11" i="8"/>
  <c r="D16" i="8"/>
  <c r="S17" i="8"/>
  <c r="T17" i="8"/>
  <c r="K19" i="8"/>
  <c r="N19" i="8"/>
  <c r="O19" i="8"/>
  <c r="O17" i="8" s="1"/>
  <c r="N11" i="7"/>
  <c r="N9" i="7" s="1"/>
  <c r="D22" i="8"/>
  <c r="E23" i="8"/>
  <c r="F23" i="8"/>
  <c r="G23" i="8"/>
  <c r="G8" i="8" s="1"/>
  <c r="S23" i="8"/>
  <c r="T23" i="8"/>
  <c r="D26" i="8"/>
  <c r="C26" i="8" s="1"/>
  <c r="D27" i="8"/>
  <c r="C27" i="8" s="1"/>
  <c r="C28" i="8"/>
  <c r="D28" i="8"/>
  <c r="D25" i="8"/>
  <c r="C25" i="8" s="1"/>
  <c r="E30" i="8"/>
  <c r="F30" i="8"/>
  <c r="F29" i="8"/>
  <c r="G30" i="8"/>
  <c r="G29" i="8"/>
  <c r="S30" i="8"/>
  <c r="T30" i="8"/>
  <c r="T29" i="8"/>
  <c r="T8" i="8"/>
  <c r="T11" i="10" s="1"/>
  <c r="E33" i="8"/>
  <c r="E29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D35" i="8"/>
  <c r="C35" i="8"/>
  <c r="D36" i="8"/>
  <c r="E37" i="8"/>
  <c r="F37" i="8"/>
  <c r="G37" i="8"/>
  <c r="S37" i="8"/>
  <c r="T37" i="8"/>
  <c r="D39" i="8"/>
  <c r="C39" i="8"/>
  <c r="D40" i="8"/>
  <c r="C40" i="8"/>
  <c r="D41" i="8"/>
  <c r="C41" i="8"/>
  <c r="D42" i="8"/>
  <c r="C42" i="8"/>
  <c r="E9" i="7"/>
  <c r="F9" i="7"/>
  <c r="F8" i="7"/>
  <c r="F10" i="10" s="1"/>
  <c r="G9" i="7"/>
  <c r="S9" i="7"/>
  <c r="T9" i="7"/>
  <c r="D10" i="7"/>
  <c r="I11" i="7"/>
  <c r="I9" i="7" s="1"/>
  <c r="J11" i="7"/>
  <c r="J9" i="7" s="1"/>
  <c r="K11" i="7"/>
  <c r="K9" i="7" s="1"/>
  <c r="L11" i="7"/>
  <c r="M11" i="7"/>
  <c r="M9" i="7" s="1"/>
  <c r="O11" i="7"/>
  <c r="O9" i="7" s="1"/>
  <c r="D12" i="7"/>
  <c r="C12" i="7"/>
  <c r="D13" i="7"/>
  <c r="C13" i="7"/>
  <c r="D14" i="7"/>
  <c r="C14" i="7"/>
  <c r="D15" i="7"/>
  <c r="C15" i="7"/>
  <c r="E16" i="7"/>
  <c r="F16" i="7"/>
  <c r="G16" i="7"/>
  <c r="G8" i="7" s="1"/>
  <c r="G10" i="10" s="1"/>
  <c r="S16" i="7"/>
  <c r="T16" i="7"/>
  <c r="T8" i="7" s="1"/>
  <c r="T10" i="10" s="1"/>
  <c r="D17" i="7"/>
  <c r="C17" i="7" s="1"/>
  <c r="D19" i="7"/>
  <c r="C19" i="7" s="1"/>
  <c r="D20" i="7"/>
  <c r="C20" i="7"/>
  <c r="E21" i="7"/>
  <c r="F21" i="7"/>
  <c r="G21" i="7"/>
  <c r="S21" i="7"/>
  <c r="T21" i="7"/>
  <c r="D23" i="7"/>
  <c r="C23" i="7"/>
  <c r="D24" i="7"/>
  <c r="D25" i="7"/>
  <c r="C25" i="7"/>
  <c r="E30" i="7"/>
  <c r="F30" i="7"/>
  <c r="F26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D31" i="7"/>
  <c r="D32" i="7"/>
  <c r="G8" i="6"/>
  <c r="H8" i="6"/>
  <c r="H7" i="6"/>
  <c r="I8" i="6"/>
  <c r="C11" i="6"/>
  <c r="G15" i="6"/>
  <c r="H15" i="6"/>
  <c r="I15" i="6"/>
  <c r="I7" i="6"/>
  <c r="C18" i="6"/>
  <c r="C19" i="6"/>
  <c r="D20" i="6"/>
  <c r="E20" i="6"/>
  <c r="F20" i="6"/>
  <c r="G20" i="6"/>
  <c r="G7" i="6"/>
  <c r="H20" i="6"/>
  <c r="I20" i="6"/>
  <c r="C21" i="6"/>
  <c r="C20" i="6"/>
  <c r="C22" i="6"/>
  <c r="H23" i="6"/>
  <c r="G24" i="6"/>
  <c r="G23" i="6"/>
  <c r="H24" i="6"/>
  <c r="I24" i="6"/>
  <c r="D29" i="6"/>
  <c r="E29" i="6"/>
  <c r="F29" i="6"/>
  <c r="G29" i="6"/>
  <c r="H29" i="6"/>
  <c r="I29" i="6"/>
  <c r="I23" i="6"/>
  <c r="C30" i="6"/>
  <c r="C31" i="6"/>
  <c r="C32" i="6"/>
  <c r="C33" i="6"/>
  <c r="G34" i="6"/>
  <c r="H34" i="6"/>
  <c r="I34" i="6"/>
  <c r="C35" i="6"/>
  <c r="C36" i="6"/>
  <c r="C38" i="6"/>
  <c r="O13" i="8"/>
  <c r="O9" i="8" s="1"/>
  <c r="I12" i="12"/>
  <c r="I13" i="8"/>
  <c r="I9" i="8" s="1"/>
  <c r="C24" i="7"/>
  <c r="C31" i="7"/>
  <c r="C13" i="6"/>
  <c r="T31" i="13"/>
  <c r="S31" i="13"/>
  <c r="O31" i="8"/>
  <c r="O30" i="8" s="1"/>
  <c r="O29" i="8" s="1"/>
  <c r="R11" i="7"/>
  <c r="R9" i="7" s="1"/>
  <c r="J9" i="10"/>
  <c r="J7" i="12"/>
  <c r="J26" i="13"/>
  <c r="J10" i="13"/>
  <c r="H7" i="12"/>
  <c r="H26" i="13"/>
  <c r="H10" i="13"/>
  <c r="H9" i="10"/>
  <c r="J13" i="8"/>
  <c r="J9" i="8" s="1"/>
  <c r="D12" i="6"/>
  <c r="P13" i="8"/>
  <c r="R13" i="8" s="1"/>
  <c r="N13" i="8"/>
  <c r="H13" i="8"/>
  <c r="H9" i="8" s="1"/>
  <c r="L13" i="8"/>
  <c r="M13" i="8"/>
  <c r="M9" i="8"/>
  <c r="K13" i="8"/>
  <c r="F12" i="6"/>
  <c r="E12" i="6"/>
  <c r="I26" i="13"/>
  <c r="I7" i="12"/>
  <c r="I9" i="10"/>
  <c r="P29" i="7"/>
  <c r="R29" i="7" s="1"/>
  <c r="M29" i="7"/>
  <c r="H28" i="7"/>
  <c r="M31" i="8"/>
  <c r="M30" i="8" s="1"/>
  <c r="M29" i="8" s="1"/>
  <c r="L31" i="8"/>
  <c r="L30" i="8" s="1"/>
  <c r="L29" i="8" s="1"/>
  <c r="D15" i="8"/>
  <c r="C15" i="8"/>
  <c r="D12" i="8"/>
  <c r="C12" i="8"/>
  <c r="D10" i="8"/>
  <c r="C22" i="8"/>
  <c r="C16" i="8"/>
  <c r="R20" i="8"/>
  <c r="Q21" i="8"/>
  <c r="C32" i="7"/>
  <c r="C30" i="7"/>
  <c r="D30" i="7"/>
  <c r="C10" i="7"/>
  <c r="F8" i="8"/>
  <c r="F11" i="10"/>
  <c r="R11" i="8"/>
  <c r="F27" i="6"/>
  <c r="C27" i="6" s="1"/>
  <c r="F28" i="6"/>
  <c r="C28" i="6" s="1"/>
  <c r="D25" i="6"/>
  <c r="C25" i="6" s="1"/>
  <c r="D26" i="6"/>
  <c r="E26" i="6"/>
  <c r="E24" i="6" s="1"/>
  <c r="E23" i="6" s="1"/>
  <c r="C29" i="6"/>
  <c r="C36" i="8"/>
  <c r="S29" i="8"/>
  <c r="S8" i="8"/>
  <c r="S11" i="10"/>
  <c r="C8" i="13"/>
  <c r="E8" i="7"/>
  <c r="E27" i="13" s="1"/>
  <c r="D34" i="8"/>
  <c r="E8" i="8"/>
  <c r="E11" i="10"/>
  <c r="J12" i="12"/>
  <c r="J11" i="12"/>
  <c r="C10" i="8"/>
  <c r="C10" i="11"/>
  <c r="D10" i="11" s="1"/>
  <c r="I10" i="13"/>
  <c r="F27" i="13"/>
  <c r="O10" i="9"/>
  <c r="K14" i="9"/>
  <c r="P22" i="7"/>
  <c r="R22" i="7" s="1"/>
  <c r="R21" i="7" s="1"/>
  <c r="I11" i="9"/>
  <c r="H10" i="9"/>
  <c r="H9" i="9" s="1"/>
  <c r="H11" i="9"/>
  <c r="P11" i="9"/>
  <c r="Q11" i="9" s="1"/>
  <c r="R11" i="9" s="1"/>
  <c r="O22" i="7"/>
  <c r="O21" i="7" s="1"/>
  <c r="O14" i="9"/>
  <c r="H22" i="7"/>
  <c r="H21" i="7" s="1"/>
  <c r="I10" i="9"/>
  <c r="I9" i="9" s="1"/>
  <c r="K22" i="7"/>
  <c r="K21" i="7" s="1"/>
  <c r="N14" i="9"/>
  <c r="L14" i="9"/>
  <c r="M11" i="9"/>
  <c r="K13" i="9"/>
  <c r="J14" i="9"/>
  <c r="C34" i="8"/>
  <c r="C33" i="8"/>
  <c r="D33" i="8"/>
  <c r="E10" i="10"/>
  <c r="E11" i="13"/>
  <c r="H37" i="7"/>
  <c r="H33" i="7" s="1"/>
  <c r="P36" i="7"/>
  <c r="O38" i="8"/>
  <c r="O37" i="8" s="1"/>
  <c r="H38" i="8"/>
  <c r="H37" i="8" s="1"/>
  <c r="P34" i="7"/>
  <c r="Q34" i="7" s="1"/>
  <c r="I38" i="8"/>
  <c r="I37" i="8" s="1"/>
  <c r="L34" i="7"/>
  <c r="N37" i="7"/>
  <c r="M35" i="7"/>
  <c r="H35" i="7"/>
  <c r="M38" i="8"/>
  <c r="M37" i="8" s="1"/>
  <c r="L37" i="7"/>
  <c r="O36" i="7"/>
  <c r="H36" i="7"/>
  <c r="N38" i="8"/>
  <c r="N37" i="8" s="1"/>
  <c r="J34" i="7"/>
  <c r="I36" i="7"/>
  <c r="P37" i="7"/>
  <c r="I34" i="7"/>
  <c r="M37" i="7"/>
  <c r="J36" i="7"/>
  <c r="N36" i="7"/>
  <c r="I35" i="7"/>
  <c r="J37" i="7"/>
  <c r="J38" i="8"/>
  <c r="J37" i="8" s="1"/>
  <c r="N34" i="7"/>
  <c r="N35" i="7"/>
  <c r="L35" i="7"/>
  <c r="K36" i="7"/>
  <c r="O34" i="7"/>
  <c r="I37" i="7"/>
  <c r="M34" i="7"/>
  <c r="K37" i="7"/>
  <c r="K34" i="7"/>
  <c r="O37" i="7"/>
  <c r="O35" i="7"/>
  <c r="J35" i="7"/>
  <c r="H34" i="7"/>
  <c r="P38" i="8"/>
  <c r="R38" i="8" s="1"/>
  <c r="R37" i="8" s="1"/>
  <c r="L38" i="8"/>
  <c r="L37" i="8" s="1"/>
  <c r="K35" i="7"/>
  <c r="K33" i="7" s="1"/>
  <c r="L36" i="7"/>
  <c r="M36" i="7"/>
  <c r="K38" i="8"/>
  <c r="K37" i="8" s="1"/>
  <c r="P35" i="7"/>
  <c r="D46" i="15"/>
  <c r="K24" i="8"/>
  <c r="K23" i="8" s="1"/>
  <c r="H24" i="8"/>
  <c r="J24" i="8"/>
  <c r="J23" i="8" s="1"/>
  <c r="I24" i="8"/>
  <c r="I23" i="8" s="1"/>
  <c r="O24" i="8"/>
  <c r="O23" i="8" s="1"/>
  <c r="M24" i="8"/>
  <c r="M23" i="8" s="1"/>
  <c r="P24" i="8"/>
  <c r="R24" i="8" s="1"/>
  <c r="R23" i="8" s="1"/>
  <c r="N24" i="8"/>
  <c r="N23" i="8" s="1"/>
  <c r="L24" i="8"/>
  <c r="L23" i="8" s="1"/>
  <c r="R35" i="7"/>
  <c r="Q35" i="7"/>
  <c r="P33" i="7"/>
  <c r="Q36" i="7"/>
  <c r="R36" i="7"/>
  <c r="Q37" i="7"/>
  <c r="R37" i="7"/>
  <c r="H23" i="8"/>
  <c r="T33" i="7"/>
  <c r="S33" i="7"/>
  <c r="S8" i="7"/>
  <c r="S10" i="10" s="1"/>
  <c r="S8" i="10"/>
  <c r="S13" i="10" s="1"/>
  <c r="P23" i="8"/>
  <c r="H26" i="15"/>
  <c r="G26" i="15"/>
  <c r="C14" i="6" l="1"/>
  <c r="D16" i="6"/>
  <c r="D15" i="6" s="1"/>
  <c r="Q24" i="8"/>
  <c r="Q23" i="8" s="1"/>
  <c r="R34" i="7"/>
  <c r="R33" i="7" s="1"/>
  <c r="D36" i="7"/>
  <c r="Q20" i="8"/>
  <c r="R19" i="8"/>
  <c r="R17" i="8" s="1"/>
  <c r="L18" i="7"/>
  <c r="L16" i="7" s="1"/>
  <c r="P18" i="7"/>
  <c r="P16" i="7" s="1"/>
  <c r="D18" i="8"/>
  <c r="C18" i="8" s="1"/>
  <c r="L13" i="9"/>
  <c r="I22" i="7"/>
  <c r="I21" i="7" s="1"/>
  <c r="J11" i="9"/>
  <c r="L22" i="7"/>
  <c r="L21" i="7" s="1"/>
  <c r="H14" i="9"/>
  <c r="Q19" i="8"/>
  <c r="Q17" i="8" s="1"/>
  <c r="E9" i="13"/>
  <c r="D45" i="15" s="1"/>
  <c r="K9" i="8"/>
  <c r="D21" i="8"/>
  <c r="C21" i="8" s="1"/>
  <c r="P17" i="8"/>
  <c r="C12" i="11"/>
  <c r="D12" i="11" s="1"/>
  <c r="P37" i="8"/>
  <c r="K17" i="8"/>
  <c r="Q18" i="7"/>
  <c r="Q16" i="7" s="1"/>
  <c r="R18" i="7"/>
  <c r="R25" i="13" s="1"/>
  <c r="O18" i="7"/>
  <c r="O16" i="7" s="1"/>
  <c r="F16" i="6"/>
  <c r="F15" i="6" s="1"/>
  <c r="C36" i="7"/>
  <c r="O33" i="7"/>
  <c r="N33" i="7"/>
  <c r="L33" i="7"/>
  <c r="Q38" i="8"/>
  <c r="Q37" i="8" s="1"/>
  <c r="J13" i="9"/>
  <c r="J12" i="9" s="1"/>
  <c r="P14" i="9"/>
  <c r="Q14" i="9" s="1"/>
  <c r="R14" i="9" s="1"/>
  <c r="M10" i="9"/>
  <c r="N11" i="9"/>
  <c r="L11" i="9"/>
  <c r="K10" i="9"/>
  <c r="M14" i="9"/>
  <c r="M13" i="9"/>
  <c r="M12" i="9" s="1"/>
  <c r="I13" i="9"/>
  <c r="I14" i="9"/>
  <c r="P13" i="9"/>
  <c r="Q13" i="9" s="1"/>
  <c r="J22" i="7"/>
  <c r="J21" i="7" s="1"/>
  <c r="F24" i="6"/>
  <c r="F23" i="6" s="1"/>
  <c r="M17" i="8"/>
  <c r="C26" i="6"/>
  <c r="O9" i="13"/>
  <c r="K18" i="7"/>
  <c r="D11" i="8"/>
  <c r="C11" i="8" s="1"/>
  <c r="L17" i="8"/>
  <c r="N17" i="8"/>
  <c r="J17" i="8"/>
  <c r="I17" i="8"/>
  <c r="E16" i="6"/>
  <c r="E15" i="6" s="1"/>
  <c r="D37" i="7"/>
  <c r="C37" i="7" s="1"/>
  <c r="P9" i="13"/>
  <c r="N9" i="8"/>
  <c r="J10" i="9"/>
  <c r="J9" i="9" s="1"/>
  <c r="K11" i="9"/>
  <c r="K9" i="9" s="1"/>
  <c r="M22" i="7"/>
  <c r="M21" i="7" s="1"/>
  <c r="O11" i="9"/>
  <c r="O9" i="9" s="1"/>
  <c r="N10" i="9"/>
  <c r="O13" i="9"/>
  <c r="O12" i="9" s="1"/>
  <c r="N22" i="7"/>
  <c r="N21" i="7" s="1"/>
  <c r="L10" i="9"/>
  <c r="N13" i="9"/>
  <c r="N12" i="9" s="1"/>
  <c r="P10" i="9"/>
  <c r="Q10" i="9" s="1"/>
  <c r="R10" i="9" s="1"/>
  <c r="R9" i="9" s="1"/>
  <c r="C12" i="6"/>
  <c r="D14" i="8"/>
  <c r="C14" i="8" s="1"/>
  <c r="M18" i="7"/>
  <c r="M16" i="7" s="1"/>
  <c r="I18" i="7"/>
  <c r="J18" i="7"/>
  <c r="J16" i="7" s="1"/>
  <c r="N18" i="7"/>
  <c r="N16" i="7" s="1"/>
  <c r="H18" i="7"/>
  <c r="H16" i="7" s="1"/>
  <c r="H8" i="7" s="1"/>
  <c r="H10" i="10" s="1"/>
  <c r="L12" i="9"/>
  <c r="C24" i="6"/>
  <c r="C23" i="6" s="1"/>
  <c r="D24" i="6"/>
  <c r="D23" i="6" s="1"/>
  <c r="I33" i="7"/>
  <c r="Q33" i="7"/>
  <c r="D35" i="7"/>
  <c r="C35" i="7" s="1"/>
  <c r="D34" i="7"/>
  <c r="C34" i="7" s="1"/>
  <c r="J33" i="7"/>
  <c r="M33" i="7"/>
  <c r="O25" i="13"/>
  <c r="D11" i="9"/>
  <c r="M9" i="9"/>
  <c r="C37" i="6"/>
  <c r="C34" i="6" s="1"/>
  <c r="P25" i="13"/>
  <c r="L9" i="8"/>
  <c r="R9" i="8"/>
  <c r="D24" i="8"/>
  <c r="P21" i="7"/>
  <c r="K12" i="9"/>
  <c r="D38" i="8"/>
  <c r="D37" i="8" s="1"/>
  <c r="C11" i="9"/>
  <c r="H12" i="9"/>
  <c r="H8" i="9" s="1"/>
  <c r="H12" i="10" s="1"/>
  <c r="D14" i="9"/>
  <c r="C14" i="9" s="1"/>
  <c r="Q22" i="7"/>
  <c r="Q21" i="7" s="1"/>
  <c r="Q12" i="9"/>
  <c r="R13" i="9"/>
  <c r="R12" i="9" s="1"/>
  <c r="P12" i="9"/>
  <c r="D11" i="7"/>
  <c r="D9" i="7" s="1"/>
  <c r="L25" i="13"/>
  <c r="L9" i="7"/>
  <c r="Q11" i="7"/>
  <c r="Q9" i="7" s="1"/>
  <c r="R9" i="13"/>
  <c r="O8" i="8"/>
  <c r="O11" i="10" s="1"/>
  <c r="H27" i="7"/>
  <c r="H26" i="7" s="1"/>
  <c r="M28" i="7"/>
  <c r="M27" i="7" s="1"/>
  <c r="M26" i="7" s="1"/>
  <c r="I28" i="7"/>
  <c r="I27" i="7" s="1"/>
  <c r="I26" i="7" s="1"/>
  <c r="O28" i="7"/>
  <c r="O27" i="7" s="1"/>
  <c r="O26" i="7" s="1"/>
  <c r="P31" i="8"/>
  <c r="N28" i="7"/>
  <c r="N27" i="7" s="1"/>
  <c r="N26" i="7" s="1"/>
  <c r="N8" i="7" s="1"/>
  <c r="N10" i="10" s="1"/>
  <c r="Q29" i="7"/>
  <c r="J31" i="8"/>
  <c r="J30" i="8" s="1"/>
  <c r="J29" i="8" s="1"/>
  <c r="J8" i="8" s="1"/>
  <c r="J11" i="10" s="1"/>
  <c r="P28" i="7"/>
  <c r="N31" i="8"/>
  <c r="N30" i="8" s="1"/>
  <c r="N29" i="8" s="1"/>
  <c r="J28" i="7"/>
  <c r="H31" i="8"/>
  <c r="J29" i="7"/>
  <c r="D29" i="7" s="1"/>
  <c r="L28" i="7"/>
  <c r="L27" i="7" s="1"/>
  <c r="L26" i="7" s="1"/>
  <c r="K31" i="8"/>
  <c r="K30" i="8" s="1"/>
  <c r="K29" i="8" s="1"/>
  <c r="K8" i="8" s="1"/>
  <c r="K11" i="10" s="1"/>
  <c r="I31" i="8"/>
  <c r="I30" i="8" s="1"/>
  <c r="I29" i="8" s="1"/>
  <c r="P32" i="8"/>
  <c r="D32" i="8" s="1"/>
  <c r="C32" i="8" s="1"/>
  <c r="D19" i="8"/>
  <c r="H17" i="8"/>
  <c r="D20" i="8"/>
  <c r="C20" i="8" s="1"/>
  <c r="M8" i="8"/>
  <c r="M11" i="10" s="1"/>
  <c r="R16" i="7"/>
  <c r="C17" i="6"/>
  <c r="D8" i="6"/>
  <c r="P9" i="8"/>
  <c r="I8" i="8"/>
  <c r="I11" i="10" s="1"/>
  <c r="Q13" i="8"/>
  <c r="Q9" i="8" s="1"/>
  <c r="D8" i="11"/>
  <c r="L8" i="8"/>
  <c r="L11" i="10" s="1"/>
  <c r="D13" i="8"/>
  <c r="E10" i="6"/>
  <c r="G27" i="13"/>
  <c r="G11" i="10"/>
  <c r="T8" i="10"/>
  <c r="F11" i="13"/>
  <c r="T13" i="10"/>
  <c r="T11" i="13"/>
  <c r="G11" i="13"/>
  <c r="S11" i="13"/>
  <c r="S12" i="13"/>
  <c r="L9" i="13" l="1"/>
  <c r="N9" i="9"/>
  <c r="N8" i="9" s="1"/>
  <c r="N12" i="10" s="1"/>
  <c r="N8" i="10" s="1"/>
  <c r="N11" i="13" s="1"/>
  <c r="N12" i="13" s="1"/>
  <c r="M40" i="15" s="1"/>
  <c r="C37" i="8"/>
  <c r="N8" i="8"/>
  <c r="N11" i="10" s="1"/>
  <c r="H9" i="13"/>
  <c r="K8" i="9"/>
  <c r="K12" i="10" s="1"/>
  <c r="I12" i="9"/>
  <c r="I8" i="9" s="1"/>
  <c r="I12" i="10" s="1"/>
  <c r="I8" i="10" s="1"/>
  <c r="I11" i="13" s="1"/>
  <c r="I12" i="13" s="1"/>
  <c r="H40" i="15" s="1"/>
  <c r="Q9" i="9"/>
  <c r="C7" i="11"/>
  <c r="N25" i="13"/>
  <c r="D13" i="9"/>
  <c r="C13" i="9" s="1"/>
  <c r="C12" i="9" s="1"/>
  <c r="H25" i="13"/>
  <c r="M9" i="13"/>
  <c r="Q8" i="9"/>
  <c r="Q12" i="10" s="1"/>
  <c r="P9" i="9"/>
  <c r="P8" i="9" s="1"/>
  <c r="P12" i="10" s="1"/>
  <c r="L9" i="9"/>
  <c r="L8" i="9" s="1"/>
  <c r="L12" i="10" s="1"/>
  <c r="O8" i="7"/>
  <c r="O10" i="10" s="1"/>
  <c r="Q9" i="13"/>
  <c r="M25" i="13"/>
  <c r="J8" i="9"/>
  <c r="J12" i="10" s="1"/>
  <c r="J25" i="13"/>
  <c r="D10" i="9"/>
  <c r="D9" i="9" s="1"/>
  <c r="C38" i="8"/>
  <c r="I16" i="7"/>
  <c r="I8" i="7" s="1"/>
  <c r="I10" i="10" s="1"/>
  <c r="I25" i="13"/>
  <c r="J9" i="13"/>
  <c r="D18" i="7"/>
  <c r="R8" i="9"/>
  <c r="R12" i="10" s="1"/>
  <c r="D22" i="7"/>
  <c r="D21" i="7" s="1"/>
  <c r="C16" i="6"/>
  <c r="C15" i="6" s="1"/>
  <c r="N9" i="13"/>
  <c r="K16" i="7"/>
  <c r="K8" i="7" s="1"/>
  <c r="K10" i="10" s="1"/>
  <c r="K9" i="13"/>
  <c r="K25" i="13"/>
  <c r="O8" i="9"/>
  <c r="O12" i="10" s="1"/>
  <c r="M8" i="9"/>
  <c r="M12" i="10" s="1"/>
  <c r="I9" i="13"/>
  <c r="D7" i="6"/>
  <c r="E10" i="13" s="1"/>
  <c r="E12" i="13" s="1"/>
  <c r="E13" i="13" s="1"/>
  <c r="M8" i="7"/>
  <c r="M10" i="10" s="1"/>
  <c r="C33" i="7"/>
  <c r="D33" i="7"/>
  <c r="D23" i="8"/>
  <c r="C23" i="8" s="1"/>
  <c r="C24" i="8"/>
  <c r="K8" i="10"/>
  <c r="K11" i="13" s="1"/>
  <c r="K27" i="13" s="1"/>
  <c r="J27" i="7"/>
  <c r="J26" i="7" s="1"/>
  <c r="J8" i="7" s="1"/>
  <c r="J10" i="10" s="1"/>
  <c r="J8" i="10" s="1"/>
  <c r="J11" i="13" s="1"/>
  <c r="Q25" i="13"/>
  <c r="L8" i="7"/>
  <c r="L10" i="10" s="1"/>
  <c r="L8" i="10" s="1"/>
  <c r="L11" i="13" s="1"/>
  <c r="L27" i="13" s="1"/>
  <c r="L28" i="13" s="1"/>
  <c r="C11" i="7"/>
  <c r="C9" i="7" s="1"/>
  <c r="P30" i="8"/>
  <c r="P29" i="8" s="1"/>
  <c r="P8" i="8" s="1"/>
  <c r="P11" i="10" s="1"/>
  <c r="Q31" i="8"/>
  <c r="Q30" i="8" s="1"/>
  <c r="Q29" i="8" s="1"/>
  <c r="Q8" i="8" s="1"/>
  <c r="Q11" i="10" s="1"/>
  <c r="R31" i="8"/>
  <c r="R30" i="8" s="1"/>
  <c r="R29" i="8" s="1"/>
  <c r="R8" i="8" s="1"/>
  <c r="R11" i="10" s="1"/>
  <c r="C29" i="7"/>
  <c r="Q28" i="7"/>
  <c r="Q27" i="7" s="1"/>
  <c r="Q26" i="7" s="1"/>
  <c r="Q8" i="7" s="1"/>
  <c r="Q10" i="10" s="1"/>
  <c r="P27" i="7"/>
  <c r="P26" i="7" s="1"/>
  <c r="P8" i="7" s="1"/>
  <c r="P10" i="10" s="1"/>
  <c r="R28" i="7"/>
  <c r="R27" i="7" s="1"/>
  <c r="R26" i="7" s="1"/>
  <c r="R8" i="7" s="1"/>
  <c r="R10" i="10" s="1"/>
  <c r="H30" i="8"/>
  <c r="H29" i="8" s="1"/>
  <c r="H8" i="8" s="1"/>
  <c r="H11" i="10" s="1"/>
  <c r="H8" i="10" s="1"/>
  <c r="H11" i="13" s="1"/>
  <c r="H27" i="13" s="1"/>
  <c r="H28" i="13" s="1"/>
  <c r="D31" i="8"/>
  <c r="D28" i="7"/>
  <c r="D17" i="8"/>
  <c r="C17" i="8" s="1"/>
  <c r="C19" i="8"/>
  <c r="D7" i="11"/>
  <c r="C13" i="8"/>
  <c r="D9" i="8"/>
  <c r="F9" i="13"/>
  <c r="E8" i="6"/>
  <c r="E7" i="6" s="1"/>
  <c r="F10" i="6"/>
  <c r="F25" i="13"/>
  <c r="T12" i="13"/>
  <c r="T27" i="13"/>
  <c r="T28" i="13" s="1"/>
  <c r="T32" i="13" s="1"/>
  <c r="H25" i="15" s="1"/>
  <c r="G7" i="15"/>
  <c r="S27" i="13"/>
  <c r="S28" i="13" s="1"/>
  <c r="S32" i="13" s="1"/>
  <c r="G25" i="15" s="1"/>
  <c r="D12" i="10" l="1"/>
  <c r="C12" i="10" s="1"/>
  <c r="D12" i="9"/>
  <c r="D40" i="15"/>
  <c r="I27" i="13"/>
  <c r="I28" i="13" s="1"/>
  <c r="C10" i="9"/>
  <c r="C9" i="9" s="1"/>
  <c r="C8" i="9" s="1"/>
  <c r="R30" i="13"/>
  <c r="R31" i="13" s="1"/>
  <c r="Q30" i="13"/>
  <c r="Q31" i="13" s="1"/>
  <c r="C22" i="7"/>
  <c r="C21" i="7" s="1"/>
  <c r="M8" i="10"/>
  <c r="M11" i="13" s="1"/>
  <c r="M12" i="13" s="1"/>
  <c r="L40" i="15" s="1"/>
  <c r="O8" i="10"/>
  <c r="O11" i="13" s="1"/>
  <c r="O27" i="13" s="1"/>
  <c r="O28" i="13" s="1"/>
  <c r="E7" i="12"/>
  <c r="E10" i="12" s="1"/>
  <c r="E9" i="12" s="1"/>
  <c r="D47" i="15"/>
  <c r="J12" i="13"/>
  <c r="I40" i="15" s="1"/>
  <c r="E9" i="10"/>
  <c r="E8" i="10" s="1"/>
  <c r="K28" i="13"/>
  <c r="E26" i="13"/>
  <c r="E28" i="13" s="1"/>
  <c r="E32" i="13" s="1"/>
  <c r="D16" i="7"/>
  <c r="C16" i="7" s="1"/>
  <c r="C18" i="7"/>
  <c r="K12" i="13"/>
  <c r="J40" i="15" s="1"/>
  <c r="R8" i="10"/>
  <c r="R11" i="13" s="1"/>
  <c r="D10" i="10"/>
  <c r="C10" i="10" s="1"/>
  <c r="D8" i="9"/>
  <c r="J27" i="13"/>
  <c r="J28" i="13" s="1"/>
  <c r="M27" i="13"/>
  <c r="M28" i="13" s="1"/>
  <c r="N27" i="13"/>
  <c r="N28" i="13" s="1"/>
  <c r="P8" i="10"/>
  <c r="P11" i="13" s="1"/>
  <c r="D11" i="10"/>
  <c r="C11" i="10" s="1"/>
  <c r="D30" i="8"/>
  <c r="D29" i="8" s="1"/>
  <c r="D8" i="8" s="1"/>
  <c r="C8" i="8" s="1"/>
  <c r="C31" i="8"/>
  <c r="C30" i="8" s="1"/>
  <c r="C29" i="8" s="1"/>
  <c r="D27" i="7"/>
  <c r="D26" i="7" s="1"/>
  <c r="C28" i="7"/>
  <c r="C27" i="7" s="1"/>
  <c r="C26" i="7" s="1"/>
  <c r="L12" i="13"/>
  <c r="K40" i="15" s="1"/>
  <c r="H12" i="13"/>
  <c r="G40" i="15" s="1"/>
  <c r="Q8" i="10"/>
  <c r="H30" i="13"/>
  <c r="J30" i="13"/>
  <c r="J31" i="13" s="1"/>
  <c r="L30" i="13"/>
  <c r="L31" i="13" s="1"/>
  <c r="L32" i="13" s="1"/>
  <c r="K55" i="15" s="1"/>
  <c r="N30" i="13"/>
  <c r="N31" i="13" s="1"/>
  <c r="I30" i="13"/>
  <c r="I31" i="13" s="1"/>
  <c r="K30" i="13"/>
  <c r="K31" i="13" s="1"/>
  <c r="K32" i="13" s="1"/>
  <c r="J55" i="15" s="1"/>
  <c r="O30" i="13"/>
  <c r="O31" i="13" s="1"/>
  <c r="O32" i="13" s="1"/>
  <c r="N55" i="15" s="1"/>
  <c r="M30" i="13"/>
  <c r="M31" i="13" s="1"/>
  <c r="P30" i="13"/>
  <c r="P31" i="13" s="1"/>
  <c r="C9" i="8"/>
  <c r="C10" i="6"/>
  <c r="C8" i="6" s="1"/>
  <c r="C7" i="6" s="1"/>
  <c r="G9" i="13"/>
  <c r="F8" i="6"/>
  <c r="F7" i="6" s="1"/>
  <c r="G25" i="13"/>
  <c r="F9" i="10"/>
  <c r="F8" i="10" s="1"/>
  <c r="F7" i="12"/>
  <c r="F10" i="13"/>
  <c r="D25" i="13"/>
  <c r="C25" i="13" s="1"/>
  <c r="E8" i="12"/>
  <c r="E12" i="12" s="1"/>
  <c r="D41" i="15"/>
  <c r="D43" i="15"/>
  <c r="D44" i="15" s="1"/>
  <c r="BF55" i="15"/>
  <c r="BI55" i="15"/>
  <c r="BG55" i="15"/>
  <c r="BA55" i="15"/>
  <c r="BD55" i="15"/>
  <c r="AZ55" i="15"/>
  <c r="BK55" i="15"/>
  <c r="BC55" i="15"/>
  <c r="BH55" i="15"/>
  <c r="BJ55" i="15"/>
  <c r="BE55" i="15"/>
  <c r="BB55" i="15"/>
  <c r="AV55" i="15"/>
  <c r="AP55" i="15"/>
  <c r="AW55" i="15"/>
  <c r="AR55" i="15"/>
  <c r="AY55" i="15"/>
  <c r="AX55" i="15"/>
  <c r="AT55" i="15"/>
  <c r="AS55" i="15"/>
  <c r="AN55" i="15"/>
  <c r="AU55" i="15"/>
  <c r="AQ55" i="15"/>
  <c r="AO55" i="15"/>
  <c r="AN40" i="15"/>
  <c r="AS40" i="15"/>
  <c r="AO40" i="15"/>
  <c r="AW40" i="15"/>
  <c r="AV40" i="15"/>
  <c r="AR40" i="15"/>
  <c r="AP40" i="15"/>
  <c r="AQ40" i="15"/>
  <c r="AY40" i="15"/>
  <c r="AX40" i="15"/>
  <c r="AT40" i="15"/>
  <c r="AU40" i="15"/>
  <c r="H7" i="15"/>
  <c r="I32" i="13" l="1"/>
  <c r="H55" i="15" s="1"/>
  <c r="D8" i="7"/>
  <c r="D11" i="13"/>
  <c r="D13" i="15" s="1"/>
  <c r="O12" i="13"/>
  <c r="N40" i="15" s="1"/>
  <c r="C8" i="7"/>
  <c r="R13" i="10"/>
  <c r="N32" i="13"/>
  <c r="M55" i="15" s="1"/>
  <c r="M32" i="13"/>
  <c r="L55" i="15" s="1"/>
  <c r="R27" i="13"/>
  <c r="R28" i="13" s="1"/>
  <c r="R32" i="13" s="1"/>
  <c r="R12" i="13"/>
  <c r="F7" i="15" s="1"/>
  <c r="Q13" i="10"/>
  <c r="Q11" i="13"/>
  <c r="P27" i="13"/>
  <c r="P12" i="13"/>
  <c r="O40" i="15" s="1"/>
  <c r="E11" i="12"/>
  <c r="D30" i="13"/>
  <c r="C30" i="13" s="1"/>
  <c r="H31" i="13"/>
  <c r="F26" i="13"/>
  <c r="F12" i="13"/>
  <c r="G9" i="10"/>
  <c r="G7" i="12"/>
  <c r="G10" i="12" s="1"/>
  <c r="G10" i="13"/>
  <c r="G26" i="13" s="1"/>
  <c r="G28" i="13" s="1"/>
  <c r="G32" i="13" s="1"/>
  <c r="F55" i="15" s="1"/>
  <c r="F10" i="12"/>
  <c r="F9" i="12"/>
  <c r="D6" i="16"/>
  <c r="D48" i="16"/>
  <c r="D20" i="16"/>
  <c r="D34" i="16"/>
  <c r="D7" i="12"/>
  <c r="D9" i="13"/>
  <c r="D55" i="15"/>
  <c r="E33" i="13"/>
  <c r="E25" i="15"/>
  <c r="J32" i="13"/>
  <c r="BK40" i="15"/>
  <c r="BC40" i="15"/>
  <c r="BA40" i="15"/>
  <c r="BE40" i="15"/>
  <c r="BH40" i="15"/>
  <c r="BJ40" i="15"/>
  <c r="BB40" i="15"/>
  <c r="BF40" i="15"/>
  <c r="BG40" i="15"/>
  <c r="BD40" i="15"/>
  <c r="BI40" i="15"/>
  <c r="AZ40" i="15"/>
  <c r="P28" i="13" l="1"/>
  <c r="P32" i="13" s="1"/>
  <c r="O55" i="15" s="1"/>
  <c r="D27" i="13"/>
  <c r="AF40" i="15"/>
  <c r="AH40" i="15"/>
  <c r="AE40" i="15"/>
  <c r="AD40" i="15"/>
  <c r="AJ40" i="15"/>
  <c r="AL40" i="15"/>
  <c r="AM40" i="15"/>
  <c r="AK40" i="15"/>
  <c r="AG40" i="15"/>
  <c r="AB40" i="15"/>
  <c r="AI40" i="15"/>
  <c r="AC40" i="15"/>
  <c r="C11" i="13"/>
  <c r="Q12" i="13"/>
  <c r="E7" i="15" s="1"/>
  <c r="Q27" i="13"/>
  <c r="Q28" i="13" s="1"/>
  <c r="Q32" i="13" s="1"/>
  <c r="D31" i="13"/>
  <c r="C31" i="13" s="1"/>
  <c r="H32" i="13"/>
  <c r="G55" i="15" s="1"/>
  <c r="D10" i="13"/>
  <c r="D12" i="13" s="1"/>
  <c r="G12" i="13"/>
  <c r="F40" i="15" s="1"/>
  <c r="F28" i="13"/>
  <c r="D26" i="13"/>
  <c r="C26" i="13" s="1"/>
  <c r="C9" i="13"/>
  <c r="D12" i="15"/>
  <c r="F8" i="12"/>
  <c r="F12" i="12" s="1"/>
  <c r="G8" i="10"/>
  <c r="D9" i="10"/>
  <c r="G9" i="12"/>
  <c r="G8" i="12" s="1"/>
  <c r="D10" i="12"/>
  <c r="E40" i="15"/>
  <c r="F13" i="13"/>
  <c r="D56" i="15"/>
  <c r="D58" i="15"/>
  <c r="D59" i="15" s="1"/>
  <c r="D9" i="12"/>
  <c r="AA55" i="15"/>
  <c r="Z55" i="15"/>
  <c r="P55" i="15"/>
  <c r="U55" i="15"/>
  <c r="Q55" i="15"/>
  <c r="W55" i="15"/>
  <c r="S55" i="15"/>
  <c r="Y55" i="15"/>
  <c r="V55" i="15"/>
  <c r="X55" i="15"/>
  <c r="T55" i="15"/>
  <c r="R55" i="15"/>
  <c r="I55" i="15"/>
  <c r="C27" i="13" l="1"/>
  <c r="C28" i="13" s="1"/>
  <c r="U40" i="15"/>
  <c r="V40" i="15"/>
  <c r="T40" i="15"/>
  <c r="Q40" i="15"/>
  <c r="R40" i="15"/>
  <c r="W40" i="15"/>
  <c r="S40" i="15"/>
  <c r="P40" i="15"/>
  <c r="AA40" i="15"/>
  <c r="X40" i="15"/>
  <c r="Y40" i="15"/>
  <c r="Z40" i="15"/>
  <c r="F11" i="12"/>
  <c r="G12" i="12"/>
  <c r="G11" i="12"/>
  <c r="C9" i="10"/>
  <c r="D8" i="10"/>
  <c r="D7" i="15"/>
  <c r="D13" i="13"/>
  <c r="F32" i="13"/>
  <c r="D28" i="13"/>
  <c r="G13" i="13"/>
  <c r="H13" i="13" s="1"/>
  <c r="I13" i="13" s="1"/>
  <c r="J13" i="13" s="1"/>
  <c r="K13" i="13" s="1"/>
  <c r="L13" i="13" s="1"/>
  <c r="M13" i="13" s="1"/>
  <c r="C18" i="13"/>
  <c r="D14" i="15"/>
  <c r="C10" i="13"/>
  <c r="C40" i="15"/>
  <c r="E41" i="15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D8" i="12"/>
  <c r="D12" i="12" s="1"/>
  <c r="C8" i="14" s="1"/>
  <c r="C17" i="13" l="1"/>
  <c r="D37" i="16"/>
  <c r="C12" i="13"/>
  <c r="C7" i="15" s="1"/>
  <c r="D38" i="16"/>
  <c r="N13" i="13"/>
  <c r="O13" i="13" s="1"/>
  <c r="P13" i="13" s="1"/>
  <c r="Q13" i="13" s="1"/>
  <c r="R13" i="13" s="1"/>
  <c r="S13" i="13" s="1"/>
  <c r="T13" i="13" s="1"/>
  <c r="F25" i="15"/>
  <c r="E55" i="15"/>
  <c r="D32" i="13"/>
  <c r="F33" i="13"/>
  <c r="G33" i="13" s="1"/>
  <c r="D9" i="16"/>
  <c r="D10" i="15"/>
  <c r="D11" i="15" s="1"/>
  <c r="D8" i="15"/>
  <c r="E8" i="15" s="1"/>
  <c r="F8" i="15" s="1"/>
  <c r="G8" i="15" s="1"/>
  <c r="D13" i="10"/>
  <c r="C8" i="10"/>
  <c r="C13" i="10" s="1"/>
  <c r="D11" i="12"/>
  <c r="C7" i="14" s="1"/>
  <c r="C6" i="14" s="1"/>
  <c r="AG55" i="15" l="1"/>
  <c r="AE55" i="15"/>
  <c r="AM55" i="15"/>
  <c r="AB55" i="15"/>
  <c r="AJ55" i="15"/>
  <c r="AL55" i="15"/>
  <c r="AF55" i="15"/>
  <c r="AK55" i="15"/>
  <c r="AI55" i="15"/>
  <c r="AC55" i="15"/>
  <c r="AH55" i="15"/>
  <c r="AD55" i="15"/>
  <c r="D52" i="16"/>
  <c r="H33" i="13"/>
  <c r="I33" i="13" s="1"/>
  <c r="J33" i="13" s="1"/>
  <c r="K33" i="13" s="1"/>
  <c r="L33" i="13" s="1"/>
  <c r="M33" i="13" s="1"/>
  <c r="N33" i="13" s="1"/>
  <c r="O33" i="13" s="1"/>
  <c r="P33" i="13" s="1"/>
  <c r="Q33" i="13" s="1"/>
  <c r="E56" i="15"/>
  <c r="F56" i="15" s="1"/>
  <c r="G56" i="15" s="1"/>
  <c r="H56" i="15" s="1"/>
  <c r="I56" i="15" s="1"/>
  <c r="J56" i="15" s="1"/>
  <c r="K56" i="15" s="1"/>
  <c r="L56" i="15" s="1"/>
  <c r="M56" i="15" s="1"/>
  <c r="N56" i="15" s="1"/>
  <c r="O56" i="15" s="1"/>
  <c r="C55" i="15"/>
  <c r="D10" i="16"/>
  <c r="H8" i="15"/>
  <c r="D25" i="15"/>
  <c r="C32" i="13"/>
  <c r="D33" i="13"/>
  <c r="D26" i="15" s="1"/>
  <c r="D24" i="16" s="1"/>
  <c r="E30" i="15"/>
  <c r="E31" i="15" s="1"/>
  <c r="H15" i="15"/>
  <c r="H16" i="15" s="1"/>
  <c r="H30" i="15"/>
  <c r="H31" i="15" s="1"/>
  <c r="G15" i="15"/>
  <c r="G16" i="15" s="1"/>
  <c r="F15" i="15"/>
  <c r="F16" i="15" s="1"/>
  <c r="D15" i="15"/>
  <c r="D16" i="15" s="1"/>
  <c r="D21" i="16"/>
  <c r="D30" i="15"/>
  <c r="E15" i="15"/>
  <c r="E16" i="15" s="1"/>
  <c r="D7" i="16"/>
  <c r="C19" i="14"/>
  <c r="F30" i="15"/>
  <c r="F31" i="15" s="1"/>
  <c r="G30" i="15"/>
  <c r="G31" i="15" s="1"/>
  <c r="D51" i="16" l="1"/>
  <c r="E26" i="15"/>
  <c r="R33" i="13"/>
  <c r="F26" i="15" s="1"/>
  <c r="D28" i="15"/>
  <c r="D29" i="15" s="1"/>
  <c r="D23" i="16"/>
  <c r="C25" i="15"/>
  <c r="D31" i="15"/>
  <c r="D17" i="15"/>
  <c r="E17" i="15" s="1"/>
  <c r="F17" i="15" s="1"/>
  <c r="G17" i="15" s="1"/>
  <c r="H17" i="15" s="1"/>
  <c r="C16" i="15"/>
  <c r="D49" i="16"/>
  <c r="D35" i="16"/>
  <c r="C21" i="14"/>
  <c r="C29" i="14"/>
  <c r="D29" i="14" s="1"/>
  <c r="D19" i="14"/>
  <c r="D32" i="15" l="1"/>
  <c r="E32" i="15" s="1"/>
  <c r="F32" i="15" s="1"/>
  <c r="G32" i="15" s="1"/>
  <c r="H32" i="15" s="1"/>
  <c r="C31" i="15"/>
  <c r="E19" i="14"/>
  <c r="D20" i="14"/>
  <c r="D30" i="14"/>
  <c r="E29" i="14"/>
  <c r="D21" i="14"/>
  <c r="C31" i="14"/>
  <c r="D31" i="14" s="1"/>
  <c r="D41" i="16"/>
  <c r="D13" i="16"/>
  <c r="D27" i="16" l="1"/>
  <c r="D55" i="16"/>
  <c r="D32" i="14"/>
  <c r="E31" i="14"/>
  <c r="E30" i="14"/>
  <c r="F29" i="14"/>
  <c r="E42" i="15"/>
  <c r="E57" i="15"/>
  <c r="E58" i="15" s="1"/>
  <c r="E59" i="15" s="1"/>
  <c r="E27" i="15"/>
  <c r="E28" i="15" s="1"/>
  <c r="E9" i="15"/>
  <c r="D22" i="14"/>
  <c r="E21" i="14"/>
  <c r="E20" i="14"/>
  <c r="F19" i="14"/>
  <c r="E14" i="15" l="1"/>
  <c r="E12" i="15"/>
  <c r="E13" i="15"/>
  <c r="E10" i="15"/>
  <c r="F42" i="15"/>
  <c r="F57" i="15"/>
  <c r="F58" i="15" s="1"/>
  <c r="F59" i="15" s="1"/>
  <c r="F30" i="14"/>
  <c r="G29" i="14"/>
  <c r="E32" i="14"/>
  <c r="F31" i="14"/>
  <c r="G19" i="14"/>
  <c r="G20" i="14" s="1"/>
  <c r="F20" i="14"/>
  <c r="F9" i="15"/>
  <c r="F27" i="15"/>
  <c r="F28" i="15" s="1"/>
  <c r="E29" i="15"/>
  <c r="D25" i="16"/>
  <c r="F21" i="14"/>
  <c r="E22" i="14"/>
  <c r="E47" i="15"/>
  <c r="E45" i="15"/>
  <c r="E46" i="15"/>
  <c r="E43" i="15"/>
  <c r="E44" i="15" s="1"/>
  <c r="H27" i="15" l="1"/>
  <c r="H28" i="15" s="1"/>
  <c r="H9" i="15"/>
  <c r="G42" i="15"/>
  <c r="G57" i="15"/>
  <c r="G58" i="15" s="1"/>
  <c r="D53" i="16" s="1"/>
  <c r="F14" i="15"/>
  <c r="F12" i="15"/>
  <c r="F13" i="15"/>
  <c r="F10" i="15"/>
  <c r="H29" i="14"/>
  <c r="G30" i="14"/>
  <c r="E11" i="15"/>
  <c r="F22" i="14"/>
  <c r="G21" i="14"/>
  <c r="G22" i="14" s="1"/>
  <c r="F32" i="14"/>
  <c r="G31" i="14"/>
  <c r="F29" i="15"/>
  <c r="G27" i="15"/>
  <c r="G28" i="15" s="1"/>
  <c r="C28" i="15" s="1"/>
  <c r="D22" i="16" s="1"/>
  <c r="D26" i="16" s="1"/>
  <c r="G9" i="15"/>
  <c r="F47" i="15"/>
  <c r="F45" i="15"/>
  <c r="F46" i="15"/>
  <c r="F43" i="15"/>
  <c r="F44" i="15" s="1"/>
  <c r="G29" i="15" l="1"/>
  <c r="H29" i="15" s="1"/>
  <c r="D50" i="16" s="1"/>
  <c r="D54" i="16" s="1"/>
  <c r="G47" i="15"/>
  <c r="G45" i="15"/>
  <c r="G46" i="15"/>
  <c r="G43" i="15"/>
  <c r="G44" i="15" s="1"/>
  <c r="I29" i="14"/>
  <c r="H30" i="14"/>
  <c r="H14" i="15"/>
  <c r="H12" i="15"/>
  <c r="H13" i="15"/>
  <c r="H10" i="15"/>
  <c r="G59" i="15"/>
  <c r="H42" i="15"/>
  <c r="H57" i="15"/>
  <c r="H58" i="15" s="1"/>
  <c r="G14" i="15"/>
  <c r="G12" i="15"/>
  <c r="G13" i="15"/>
  <c r="G10" i="15"/>
  <c r="H31" i="14"/>
  <c r="G32" i="14"/>
  <c r="F11" i="15"/>
  <c r="C14" i="15" l="1"/>
  <c r="C12" i="15"/>
  <c r="C10" i="15"/>
  <c r="D36" i="16" s="1"/>
  <c r="H59" i="15"/>
  <c r="I30" i="14"/>
  <c r="J29" i="14"/>
  <c r="H47" i="15"/>
  <c r="H45" i="15"/>
  <c r="H46" i="15"/>
  <c r="H43" i="15"/>
  <c r="H32" i="14"/>
  <c r="I31" i="14"/>
  <c r="G11" i="15"/>
  <c r="C13" i="15"/>
  <c r="I42" i="15"/>
  <c r="I57" i="15"/>
  <c r="I58" i="15" s="1"/>
  <c r="D40" i="16" l="1"/>
  <c r="D8" i="16"/>
  <c r="J30" i="14"/>
  <c r="K29" i="14"/>
  <c r="J57" i="15"/>
  <c r="J58" i="15" s="1"/>
  <c r="J42" i="15"/>
  <c r="D11" i="16"/>
  <c r="H11" i="15"/>
  <c r="H44" i="15"/>
  <c r="I59" i="15"/>
  <c r="I32" i="14"/>
  <c r="J31" i="14"/>
  <c r="I47" i="15"/>
  <c r="I45" i="15"/>
  <c r="I46" i="15"/>
  <c r="I43" i="15"/>
  <c r="D12" i="16"/>
  <c r="J59" i="15" l="1"/>
  <c r="J32" i="14"/>
  <c r="K31" i="14"/>
  <c r="K30" i="14"/>
  <c r="L29" i="14"/>
  <c r="J45" i="15"/>
  <c r="J47" i="15"/>
  <c r="J46" i="15"/>
  <c r="J43" i="15"/>
  <c r="I44" i="15"/>
  <c r="K42" i="15"/>
  <c r="K57" i="15"/>
  <c r="K58" i="15" s="1"/>
  <c r="K59" i="15" l="1"/>
  <c r="J44" i="15"/>
  <c r="K45" i="15"/>
  <c r="K47" i="15"/>
  <c r="K46" i="15"/>
  <c r="K43" i="15"/>
  <c r="K44" i="15" s="1"/>
  <c r="K32" i="14"/>
  <c r="L31" i="14"/>
  <c r="L42" i="15"/>
  <c r="L57" i="15"/>
  <c r="L58" i="15" s="1"/>
  <c r="L59" i="15" s="1"/>
  <c r="L30" i="14"/>
  <c r="M29" i="14"/>
  <c r="M31" i="14" l="1"/>
  <c r="L32" i="14"/>
  <c r="M57" i="15"/>
  <c r="M58" i="15" s="1"/>
  <c r="M59" i="15" s="1"/>
  <c r="M42" i="15"/>
  <c r="N29" i="14"/>
  <c r="N30" i="14" s="1"/>
  <c r="M30" i="14"/>
  <c r="L47" i="15"/>
  <c r="L45" i="15"/>
  <c r="L46" i="15"/>
  <c r="L43" i="15"/>
  <c r="L44" i="15" s="1"/>
  <c r="N42" i="15" l="1"/>
  <c r="N57" i="15"/>
  <c r="N58" i="15" s="1"/>
  <c r="N59" i="15" s="1"/>
  <c r="O42" i="15"/>
  <c r="O57" i="15"/>
  <c r="O58" i="15" s="1"/>
  <c r="M32" i="14"/>
  <c r="N31" i="14"/>
  <c r="N32" i="14" s="1"/>
  <c r="M47" i="15"/>
  <c r="M45" i="15"/>
  <c r="M43" i="15"/>
  <c r="D39" i="16" s="1"/>
  <c r="M46" i="15"/>
  <c r="M44" i="15" l="1"/>
  <c r="O59" i="15"/>
  <c r="O45" i="15"/>
  <c r="O47" i="15"/>
  <c r="O46" i="15"/>
  <c r="O43" i="15"/>
  <c r="C58" i="15"/>
  <c r="N47" i="15"/>
  <c r="N45" i="15"/>
  <c r="N46" i="15"/>
  <c r="N43" i="15"/>
  <c r="N44" i="15" l="1"/>
  <c r="O44" i="15" s="1"/>
  <c r="C47" i="15"/>
  <c r="C46" i="15"/>
  <c r="C45" i="15"/>
  <c r="C4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Андрей</author>
  </authors>
  <commentList>
    <comment ref="B5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оставить этот срок</t>
        </r>
      </text>
    </comment>
    <comment ref="B18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оставить этот срок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Демидов Андрей Викторович</author>
    <author>Андрей</author>
  </authors>
  <commentList>
    <comment ref="D6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разработка = 3 месяца. Можно установить срок разработки от 1 до 6 месяцев</t>
        </r>
      </text>
    </comment>
    <comment ref="A10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Демидов Андрей Викторович:
при условии периода разработки = 3 месяца, поэтому в 4-6 месяце амортизация = 0. Если иначе, то поменять.</t>
        </r>
      </text>
    </comment>
    <comment ref="A17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месяца, поэтому в 4-6 месяце амортизация = 0. Если иначе, то поменять.
</t>
        </r>
      </text>
    </comment>
    <comment ref="D26" authorId="1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половина первого месяца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Демидов Андрей Викторович</author>
  </authors>
  <commentList>
    <comment ref="E7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разработка = 3 месяце. Можно установить срок разработки от 1 до 6 месяцев</t>
        </r>
      </text>
    </comment>
    <comment ref="A11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амортизация = 0. Если иначе, то поменять.</t>
        </r>
      </text>
    </comment>
    <comment ref="A18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амортизация = 0. Если иначе, то поменять.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Демидов Андрей Викторович</author>
    <author>Андрей</author>
  </authors>
  <commentList>
    <comment ref="E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разработка = 3 месяце. Можно установить срок разработки от 1 до 6 месяцев</t>
        </r>
      </text>
    </comment>
    <comment ref="A11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амортизация = 0. Если иначе, то поменять.</t>
        </r>
      </text>
    </comment>
    <comment ref="E16" authorId="1" shapeId="0" xr:uid="{00000000-0006-0000-0900-000003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ввод значения коэффициента, определенного экспертным путем</t>
        </r>
      </text>
    </comment>
    <comment ref="A19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амортизация = 0. Если иначе, то поменять.</t>
        </r>
      </text>
    </comment>
    <comment ref="E22" authorId="1" shapeId="0" xr:uid="{00000000-0006-0000-0900-000005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ввод значения коэффициента, определенного экспертным путем</t>
        </r>
      </text>
    </comment>
    <comment ref="E28" authorId="1" shapeId="0" xr:uid="{00000000-0006-0000-0900-000006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ввод значения коэффициента, определенного экспертным путем</t>
        </r>
      </text>
    </comment>
    <comment ref="E36" authorId="1" shapeId="0" xr:uid="{00000000-0006-0000-0900-000007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ввод значения коэффициента, определенного экспертным путем</t>
        </r>
      </text>
    </comment>
    <comment ref="E42" authorId="1" shapeId="0" xr:uid="{00000000-0006-0000-0900-000008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ввод значения коэффициента, определенного экспертным путем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Демидов Андрей Викторович</author>
  </authors>
  <commentList>
    <comment ref="E7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разработка = 3 месяце. Можно установить срок разработки от 1 до 6 месяцев</t>
        </r>
      </text>
    </comment>
    <comment ref="A10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 расходы = 0. Если иначе, то поменять.</t>
        </r>
      </text>
    </comment>
    <comment ref="A13" authorId="0" shapeId="0" xr:uid="{00000000-0006-0000-0A00-000003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при условии периода разработки = 3 месяца. Эксплуатаия начинается с 4 месяца, поэтому в 1-3 месяце расходы = 0. Если иначе, то поменять.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Демидов Андрей Викторович</author>
  </authors>
  <commentList>
    <comment ref="E9" authorId="0" shapeId="0" xr:uid="{00000000-0006-0000-0D00-000001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здесь и далее заменить на свои значения</t>
        </r>
      </text>
    </comment>
    <comment ref="E10" authorId="0" shapeId="0" xr:uid="{00000000-0006-0000-0D00-000002000000}">
      <text>
        <r>
          <rPr>
            <b/>
            <sz val="9"/>
            <color indexed="81"/>
            <rFont val="Tahoma"/>
            <family val="2"/>
            <charset val="204"/>
          </rPr>
          <t>Демидов Андрей Викторович:</t>
        </r>
        <r>
          <rPr>
            <sz val="9"/>
            <color indexed="81"/>
            <rFont val="Tahoma"/>
            <family val="2"/>
            <charset val="204"/>
          </rPr>
          <t xml:space="preserve">
здесь и далее заменить на свои значения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Андрей</author>
  </authors>
  <commentList>
    <comment ref="D8" authorId="0" shapeId="0" xr:uid="{00000000-0006-0000-0E00-000001000000}">
      <text>
        <r>
          <rPr>
            <sz val="10"/>
            <color theme="1"/>
            <rFont val="Arial"/>
            <family val="2"/>
            <charset val="204"/>
          </rPr>
          <t>Андрей:
должны быть предварительны рассчитаны студентом в отдельной таблице</t>
        </r>
      </text>
    </comment>
    <comment ref="E30" authorId="1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оставить 0
в оранжевых ячейках при условии срока разработки в 3 месяце. При ином сроке разработки - исправить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Андрей</author>
  </authors>
  <commentList>
    <comment ref="D10" authorId="0" shapeId="0" xr:uid="{00000000-0006-0000-1100-000001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уточнить ссылки на ячейки</t>
        </r>
      </text>
    </comment>
    <comment ref="D11" authorId="0" shapeId="0" xr:uid="{00000000-0006-0000-1100-000002000000}">
      <text>
        <r>
          <rPr>
            <b/>
            <sz val="9"/>
            <color indexed="81"/>
            <rFont val="Tahoma"/>
            <family val="2"/>
            <charset val="204"/>
          </rPr>
          <t>Андрей:</t>
        </r>
        <r>
          <rPr>
            <sz val="9"/>
            <color indexed="81"/>
            <rFont val="Tahoma"/>
            <family val="2"/>
            <charset val="204"/>
          </rPr>
          <t xml:space="preserve">
уточнить ссылки на ячейки</t>
        </r>
      </text>
    </comment>
  </commentList>
</comments>
</file>

<file path=xl/sharedStrings.xml><?xml version="1.0" encoding="utf-8"?>
<sst xmlns="http://schemas.openxmlformats.org/spreadsheetml/2006/main" count="1174" uniqueCount="563">
  <si>
    <t>Стоимость ранее закупленных ПК, используемых на этапе эксплуатации системы (за единицу)</t>
  </si>
  <si>
    <t>Стоимость ранее закупленных ноутбуков, используемых на этапе разработки</t>
  </si>
  <si>
    <t>Стоимость ранее закупленного ПО, используемого для эксплуатации системы</t>
  </si>
  <si>
    <r>
      <t xml:space="preserve">1 месяц </t>
    </r>
    <r>
      <rPr>
        <b/>
        <sz val="8"/>
        <color indexed="10"/>
        <rFont val="Times New Roman"/>
        <family val="1"/>
        <charset val="204"/>
      </rPr>
      <t>(разработка)</t>
    </r>
  </si>
  <si>
    <r>
      <t xml:space="preserve">2 месяц </t>
    </r>
    <r>
      <rPr>
        <b/>
        <sz val="8"/>
        <color indexed="10"/>
        <rFont val="Times New Roman"/>
        <family val="1"/>
        <charset val="204"/>
      </rPr>
      <t>(разработка)</t>
    </r>
  </si>
  <si>
    <r>
      <t xml:space="preserve">3 месяц </t>
    </r>
    <r>
      <rPr>
        <b/>
        <sz val="8"/>
        <color indexed="10"/>
        <rFont val="Times New Roman"/>
        <family val="1"/>
        <charset val="204"/>
      </rPr>
      <t>(разработка)</t>
    </r>
  </si>
  <si>
    <t>Количество операторов, работающих с системой на этапе эксплуатации, чел.</t>
  </si>
  <si>
    <t>четыре месяца в год</t>
  </si>
  <si>
    <t>Количество персонала поддержки общей корпоративной сети, выделенных линий и каналов , чел.</t>
  </si>
  <si>
    <t>Количество инженеров по сопровождению, работающих на этапе эксплуатации системы, чел.</t>
  </si>
  <si>
    <t>Количество инженеров по развитию, работающих на этапе эксплуатации системы, чел.</t>
  </si>
  <si>
    <t>Фонд времени персонала поддержки общей корпоративной сети, выделенных линий и каналов в месяц, часов</t>
  </si>
  <si>
    <t>Количество общесистемного персонала, чел.</t>
  </si>
  <si>
    <t>Фонд времени общесистемного персонала в месяц</t>
  </si>
  <si>
    <t>часть</t>
  </si>
  <si>
    <t>Отчет о совместимости для Таблицы для расчета_в2.1_ЭТАЛОН.xls</t>
  </si>
  <si>
    <t>Дата отчета: 23.04.2024 20:24</t>
  </si>
  <si>
    <t>Если вы сохраните книгу в более старом формате или откроете в более ранней версии Microsoft Excel, приведенные ниже функции будут недоступны.</t>
  </si>
  <si>
    <t>Несущественная потеря точности</t>
  </si>
  <si>
    <t>Число экземпляров</t>
  </si>
  <si>
    <t>Версия</t>
  </si>
  <si>
    <t>Некоторые ячейки или стили в этой книге содержат форматирование, не поддерживаемое выбранным форматом файла. Эти форматы будут преобразованы в наиболее близкий из имеющихся форматов.</t>
  </si>
  <si>
    <t>Excel 97–2003</t>
  </si>
  <si>
    <t>Расчет расходов (условно-косвенных), связанных с эксплуатацией ИТ-проекта</t>
  </si>
  <si>
    <r>
      <rPr>
        <b/>
        <sz val="12"/>
        <color indexed="8"/>
        <rFont val="Times New Roman"/>
        <family val="1"/>
        <charset val="204"/>
      </rPr>
      <t>2.2. Косвенные расходы на общесистемное программное обеспечение (ПО), РУ</t>
    </r>
    <r>
      <rPr>
        <b/>
        <vertAlign val="superscript"/>
        <sz val="12"/>
        <color indexed="8"/>
        <rFont val="Times New Roman"/>
        <family val="1"/>
        <charset val="204"/>
      </rPr>
      <t>б</t>
    </r>
    <r>
      <rPr>
        <b/>
        <sz val="12"/>
        <color indexed="8"/>
        <rFont val="Times New Roman"/>
        <family val="1"/>
        <charset val="204"/>
      </rPr>
      <t>-</t>
    </r>
  </si>
  <si>
    <t>Расчет расходов (непредвиденных), связанных с эксплуатацией ИТ-проекта</t>
  </si>
  <si>
    <t>Расчет совокупной стоимости владения программного решения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</si>
  <si>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</si>
  <si>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в т.ч. по периодам (годам) срока жизни решения</t>
  </si>
  <si>
    <t>m=</t>
  </si>
  <si>
    <t>количество рабочих мест</t>
  </si>
  <si>
    <t>в т.ч. по периодам (месяцам) 1-го года жизни решения</t>
  </si>
  <si>
    <t>1. Условно-прямые расходы (разработка), руб.</t>
  </si>
  <si>
    <t>2. Условно-прямые расходы (эксплуатация), руб.</t>
  </si>
  <si>
    <t>Исходные данные для расчета затрат и показателей экономической эффективности</t>
  </si>
  <si>
    <t>3. Условно-косвенные расходы по системе, руб.</t>
  </si>
  <si>
    <t>Расчет себестоимости бизнес-процесса по существующему варианту</t>
  </si>
  <si>
    <t>Наименование показателя</t>
  </si>
  <si>
    <t>Всего в год</t>
  </si>
  <si>
    <t>1 месяц</t>
  </si>
  <si>
    <t>2 месяц</t>
  </si>
  <si>
    <t>3 месяц</t>
  </si>
  <si>
    <t>4 месяц</t>
  </si>
  <si>
    <t>5 месяц</t>
  </si>
  <si>
    <t>6 месяц</t>
  </si>
  <si>
    <t>7 месяц</t>
  </si>
  <si>
    <t>8 месяц</t>
  </si>
  <si>
    <t>9 месяц</t>
  </si>
  <si>
    <t>10 месяц</t>
  </si>
  <si>
    <t>11 месяц</t>
  </si>
  <si>
    <t>12 месяц</t>
  </si>
  <si>
    <t>1. Себестоимость бизнес-процесса, руб.</t>
  </si>
  <si>
    <t>2.Расходные материалы</t>
  </si>
  <si>
    <t>3.Заработная плата персонала, участвующего в реализации бизнес-процесса</t>
  </si>
  <si>
    <t>4.Начисления на заработную плату (страховые взносы)</t>
  </si>
  <si>
    <t>Накладные расходы, 20% от суммы п.2-п.5.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</si>
  <si>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</si>
  <si>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1. Расходы, связанные с разработкой проекта, руб.</t>
  </si>
  <si>
    <t>2. Источники финансирования расходов, руб. Всего в т.ч.</t>
  </si>
  <si>
    <t>2.1 Собственные средства, руб.</t>
  </si>
  <si>
    <t>2.2 Заемные средства, руб.</t>
  </si>
  <si>
    <t>3.Доля собственных средств в структуре финансирования проекта,%</t>
  </si>
  <si>
    <t>4.Доля заемных средств в структуре финансирования проекта,%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</si>
  <si>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</si>
  <si>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в т.ч. по периодам (годам) жизненного цикла решения</t>
  </si>
  <si>
    <t>1. Поступления (доходы), связанные с реализацией проекта, руб.</t>
  </si>
  <si>
    <t>2.Амортизация оборудования и суммы ежегодного списания затрат на ПО</t>
  </si>
  <si>
    <t>3. Расходы, связанные с разработкой (внедрением) ИТ-проекта, руб (по данным табл. 1.1.1)</t>
  </si>
  <si>
    <t>5.Чистый денежный поток, руб.</t>
  </si>
  <si>
    <t>6.Чистый денежный поток нарастающим итогом, руб.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</si>
  <si>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</si>
  <si>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1.Поступления (доходы) в случае реализации бизнес-процесса по схеме проекта, руб.</t>
  </si>
  <si>
    <t>3.Расходы, связанные с реализацией бизнес-процесса по схеме проекта (разработка), руб (по данным табл. 1.1.1)</t>
  </si>
  <si>
    <t xml:space="preserve"> 4.Расходы, в случае реализации бизнес-процесса по схеме проекта (эксплуатация), руб (по данным табл. 1.2.1+1.2.2.+.1.2.3)</t>
  </si>
  <si>
    <t>5.Денежный поток в случае реализации бизнес-процесса по схеме проекта</t>
  </si>
  <si>
    <t>6.Поступления (доходы) в случае реализации бизнес-процесса по старой схеме, руб.</t>
  </si>
  <si>
    <t>8.Денежный поток в случае реализации бизнес-процесса по старой схеме</t>
  </si>
  <si>
    <t>9.Чистый денежный поток, руб.</t>
  </si>
  <si>
    <t>10.Чистый денежный поток нарастающим итогом, руб.</t>
  </si>
  <si>
    <t>Расчет ставки дисконтирования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</si>
  <si>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</si>
  <si>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1. Ставка дисконтирования, рассчитанная методом WACC</t>
  </si>
  <si>
    <t>r</t>
  </si>
  <si>
    <t>3.Доля собственных средств в структуре финансирования,%</t>
  </si>
  <si>
    <t>4.Доля заемных средств в структуре финансирования,%</t>
  </si>
  <si>
    <t>5.Стоимость, собственного капитала,%</t>
  </si>
  <si>
    <t>6.Стоимость заемного капитала,%</t>
  </si>
  <si>
    <t>ставка налога на прибыль при ОСНО t=</t>
  </si>
  <si>
    <t>величина инфляции h =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</si>
  <si>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</si>
  <si>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1.Ставка дисконтирования, рассчитанная методом WACC</t>
  </si>
  <si>
    <t>2. Коэффициент дисконтирования, посчитанный по ставке r</t>
  </si>
  <si>
    <t>3.Ставка дисконтирования, скорректированная на инфляцию</t>
  </si>
  <si>
    <t>4. Коэффициент дисконтирования, посчитанный по ставке rкорр</t>
  </si>
  <si>
    <t>Расчет коэффициента дисконтирования (помесячно) для 1-го года жизни решения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</si>
  <si>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</si>
  <si>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</si>
  <si>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1.Чистый денежный поток, руб.</t>
  </si>
  <si>
    <t>Среднечасовая ставка общесистемного персонала, руб.</t>
  </si>
  <si>
    <t>Расходы на закупку общесистемного оборудования</t>
  </si>
  <si>
    <r>
      <rPr>
        <sz val="13"/>
        <rFont val="Times New Roman"/>
        <family val="1"/>
      </rPr>
      <t>Стоимость ранее закупленного общесистемного оборудования</t>
    </r>
  </si>
  <si>
    <t>2.Чистый денежный поток нарастающим итогом, руб.</t>
  </si>
  <si>
    <t>3. Коэффициент дисконтирования, посчитанный по ставке r</t>
  </si>
  <si>
    <t>4.Чистый дисконтированный денежный поток, руб.</t>
  </si>
  <si>
    <t>5.Чистый дисконтировнный денежный поток нарастающим итогом, руб.</t>
  </si>
  <si>
    <t>6. Дисконтируемые поступления (доходы), связанные с реализацией проекта, руб.</t>
  </si>
  <si>
    <t>7. Дисконтируемые эксплуатационные расходы проекта, руб</t>
  </si>
  <si>
    <t>8. Дисконтируемые инвестиционные расходы проекта, руб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</si>
  <si>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</si>
  <si>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</si>
  <si>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Ед.изм.</t>
  </si>
  <si>
    <t>Величина  показателя</t>
  </si>
  <si>
    <t>1.Объем инвестиций</t>
  </si>
  <si>
    <t>I проект</t>
  </si>
  <si>
    <t>руб.</t>
  </si>
  <si>
    <t>2.Ставка дисконтирования</t>
  </si>
  <si>
    <t>%</t>
  </si>
  <si>
    <t>3.Чистая приведенная стоимость проекта</t>
  </si>
  <si>
    <t>NPV</t>
  </si>
  <si>
    <t>4.Внутренняя ставка доходности</t>
  </si>
  <si>
    <t>IRR</t>
  </si>
  <si>
    <t>5.Простой срок окупаемости</t>
  </si>
  <si>
    <t>PPs</t>
  </si>
  <si>
    <t>лет</t>
  </si>
  <si>
    <t>6.Дисконтированный срок окупаемости</t>
  </si>
  <si>
    <t>PPd</t>
  </si>
  <si>
    <t>7. Расходы, в случае реализации проекта по старой схеме, руб (по данным табл. Г 1.1.1 )</t>
  </si>
  <si>
    <t>Таблица  Г 1.1.1</t>
  </si>
  <si>
    <t>сверка</t>
  </si>
  <si>
    <t>7.Индекс доходности инвестиций, PI</t>
  </si>
  <si>
    <t>PI</t>
  </si>
  <si>
    <t>индекс</t>
  </si>
  <si>
    <t>7.Коэффициент удельной эффективности проекта (модифицированный)</t>
  </si>
  <si>
    <t>PI_мод</t>
  </si>
  <si>
    <t>коэф-т</t>
  </si>
  <si>
    <t>1 год, всего</t>
  </si>
  <si>
    <t xml:space="preserve">1 год, всего </t>
  </si>
  <si>
    <t>4. Непредвиденные расходы, руб.</t>
  </si>
  <si>
    <t>ССВ</t>
  </si>
  <si>
    <t>ссв</t>
  </si>
  <si>
    <t>Всего расходов, в т.ч.</t>
  </si>
  <si>
    <t>1 год всего</t>
  </si>
  <si>
    <t>Наименование</t>
  </si>
  <si>
    <t>в т.ч. в  месяц</t>
  </si>
  <si>
    <t>4. Расходы, связанные с сопровождением (эксплуатацией) ИТ-проекта, руб (по данным табл. 1.2.1+1.2.2.+.1.2.3)</t>
  </si>
  <si>
    <t>Всего за 1 год</t>
  </si>
  <si>
    <t>для расчетва ВСД</t>
  </si>
  <si>
    <t>2-го года жизни решения</t>
  </si>
  <si>
    <t>3-го года жизни решения</t>
  </si>
  <si>
    <t>4-го года жизни решения</t>
  </si>
  <si>
    <t>5-го года жизни решения</t>
  </si>
  <si>
    <t>1.1.3. Расходы на комплектующие, руб</t>
  </si>
  <si>
    <r>
      <t>1.1.3. Расходы на комплектующие, ру</t>
    </r>
    <r>
      <rPr>
        <vertAlign val="superscript"/>
        <sz val="12"/>
        <color indexed="8"/>
        <rFont val="Times New Roman"/>
        <family val="1"/>
        <charset val="204"/>
      </rPr>
      <t>б</t>
    </r>
  </si>
  <si>
    <r>
      <t>в т.ч. по периодам (</t>
    </r>
    <r>
      <rPr>
        <b/>
        <sz val="11"/>
        <color indexed="10"/>
        <rFont val="Times New Roman"/>
        <family val="1"/>
        <charset val="204"/>
      </rPr>
      <t>месяцам</t>
    </r>
    <r>
      <rPr>
        <b/>
        <sz val="11"/>
        <color indexed="8"/>
        <rFont val="Times New Roman"/>
        <family val="1"/>
        <charset val="204"/>
      </rPr>
      <t>) разработки системы</t>
    </r>
  </si>
  <si>
    <t>7.Индекс доходности инвестиций</t>
  </si>
  <si>
    <t>Расчет чистого денежного потока для  ИТ-проекта типа 1</t>
  </si>
  <si>
    <t>Расчет чистого денежного потока для  ИТ-проекта типа 2</t>
  </si>
  <si>
    <t>Расчет дисконтированных значений чистого денежного потока для  ИТ-проекта 1-го типа по месяцам 1-го года жизни решения</t>
  </si>
  <si>
    <r>
      <rPr>
        <sz val="13"/>
        <rFont val="Times New Roman"/>
        <family val="1"/>
      </rPr>
      <t>Среднечасовая ставка лиц, работающих с системой на этапе ее разработки и проектирования, руб.</t>
    </r>
  </si>
  <si>
    <r>
      <t>1.1.5. Стоимость обслуживания оборудования по договору, ру</t>
    </r>
    <r>
      <rPr>
        <vertAlign val="superscript"/>
        <sz val="12"/>
        <color indexed="8"/>
        <rFont val="Times New Roman"/>
        <family val="1"/>
        <charset val="204"/>
      </rPr>
      <t>б</t>
    </r>
    <r>
      <rPr>
        <sz val="12"/>
        <color indexed="8"/>
        <rFont val="Times New Roman"/>
        <family val="1"/>
        <charset val="204"/>
      </rPr>
      <t>.</t>
    </r>
  </si>
  <si>
    <t>второй и последующие годы  =ФОТ месяц*12</t>
  </si>
  <si>
    <t>второй и последующие годы  =месяц*12</t>
  </si>
  <si>
    <t>в год *12 мес</t>
  </si>
  <si>
    <t>Расчет дисконтированных значений чистого денежного потока для  ИТ-проекта 2-его типа по месяцам 1-го года жизни решения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</si>
  <si>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Пр_Р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</si>
  <si>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Об</t>
    </r>
  </si>
  <si>
    <r>
      <t xml:space="preserve"> </t>
    </r>
    <r>
      <rPr>
        <sz val="12"/>
        <color indexed="8"/>
        <rFont val="Times New Roman"/>
        <family val="1"/>
        <charset val="204"/>
      </rPr>
      <t>где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срок полезного использования оборудования, месяцев (Т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устанавливается исходя из информации о том, сколько будет использоваться данный объект до его полной замены или модернизации. Если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меньше жизненного цикла системы, то на соответствующий год в расчете должны быть заложены расходы на закупку оборудования для замены или модернизации) </t>
    </r>
  </si>
  <si>
    <r>
      <t>Р</t>
    </r>
    <r>
      <rPr>
        <b/>
        <i/>
        <vertAlign val="subscript"/>
        <sz val="12"/>
        <color indexed="8"/>
        <rFont val="Times New Roman"/>
        <family val="1"/>
        <charset val="204"/>
      </rPr>
      <t>ПО</t>
    </r>
  </si>
  <si>
    <t>**- чистый денежный поток (ЧДП)</t>
  </si>
  <si>
    <t>*- указан № таблицы как в Приложении</t>
  </si>
  <si>
    <r>
      <t xml:space="preserve"> где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срок полезного использования ПО, месяцев (Т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устанавливается исходя из информации о том, сколько будет использоваться данное программное обеспечение до его полной замены. Если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меньше жизненного цикла подсистемы (задачи), то на соответствующий год в расчете должны быть заложены расходы на закупку нового программного обеспечения для замены) </t>
    </r>
  </si>
  <si>
    <t>Общие расходы за месяц</t>
  </si>
  <si>
    <t>Прямой счет фактических расходов (цена, доставка и т.д.)</t>
  </si>
  <si>
    <t>1.3.1. Затраты на обучение разработчиков вопросам информационных технологий и систем, руб.</t>
  </si>
  <si>
    <t>1.3.2. Затраты на решение задач административного характера, порученные другим организациям в порядке аутсорсинга, руб.</t>
  </si>
  <si>
    <t>Среднечасовая ставка = месячный оклад / 160 часов. Коэффициент R = 1,302.</t>
  </si>
  <si>
    <t xml:space="preserve">, где tр - месячная трудоемкость выполнения работ по разработке подсистемы(проектирование), часов ; Чр - среднечасовая ставка проектировщика (с учетом премий, компенсаций), руб.; R - коэффициент, учитывающий отчисления в социальные фонды </t>
  </si>
  <si>
    <t>1.4.2. Расходы на оплату услуг сторонних разработчиков и консультантов по направлениям разработки системы, всего в т.ч.:</t>
  </si>
  <si>
    <t>в случае необходимости выполнения данной стадии на этапе разработки</t>
  </si>
  <si>
    <t>при наличии такого персонала. Среднечасовая ставка = месячный оклад / 160 часов. Коэффициент R = 1,302.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</si>
  <si>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ПО 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</si>
  <si>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ПО 2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</si>
  <si>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ПО 3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</si>
  <si>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ПО 4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</si>
  <si>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1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</si>
  <si>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2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</si>
  <si>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3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</si>
  <si>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4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</si>
  <si>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5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</si>
  <si>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Об 6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</si>
  <si>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Адм 1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</si>
  <si>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Адм 2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</si>
  <si>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</si>
  <si>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1_1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</si>
  <si>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1_2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</si>
  <si>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1_3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</si>
  <si>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1_4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</si>
  <si>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2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</si>
  <si>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2_1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</si>
  <si>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2_2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</si>
  <si>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2_3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</si>
  <si>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 2_4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</si>
  <si>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Ком 1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</si>
  <si>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Ком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</si>
  <si>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Ком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</si>
  <si>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Ком 4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</si>
  <si>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Адм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</si>
  <si>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Адм 4</t>
    </r>
    <r>
      <rPr>
        <sz val="11"/>
        <color indexed="8"/>
        <rFont val="Arial"/>
        <family val="2"/>
        <charset val="204"/>
      </rPr>
      <t/>
    </r>
  </si>
  <si>
    <t>1.3.1. Расходы на оплату труда пользователей (операторов) системы, руб.</t>
  </si>
  <si>
    <r>
      <rPr>
        <sz val="11"/>
        <color indexed="8"/>
        <rFont val="Times New Roman"/>
        <family val="1"/>
        <charset val="204"/>
      </rPr>
      <t>, где t</t>
    </r>
    <r>
      <rPr>
        <i/>
        <vertAlign val="subscript"/>
        <sz val="8"/>
        <color indexed="8"/>
        <rFont val="Times New Roman"/>
        <family val="1"/>
        <charset val="204"/>
      </rPr>
      <t>р</t>
    </r>
    <r>
      <rPr>
        <sz val="11"/>
        <color indexed="8"/>
        <rFont val="Times New Roman"/>
        <family val="1"/>
        <charset val="204"/>
      </rPr>
      <t xml:space="preserve"> - месячная трудоемкость выполнения работ, час ; Ч</t>
    </r>
    <r>
      <rPr>
        <vertAlign val="subscript"/>
        <sz val="11"/>
        <color indexed="8"/>
        <rFont val="Times New Roman"/>
        <family val="1"/>
        <charset val="204"/>
      </rPr>
      <t>р</t>
    </r>
    <r>
      <rPr>
        <sz val="11"/>
        <color indexed="8"/>
        <rFont val="Times New Roman"/>
        <family val="1"/>
        <charset val="204"/>
      </rPr>
      <t xml:space="preserve"> - среднечасовая ставка пользователя (оператора) системы (с учетом премий, компенсаций), руб.; </t>
    </r>
    <r>
      <rPr>
        <i/>
        <sz val="11"/>
        <color indexed="8"/>
        <rFont val="Times New Roman"/>
        <family val="1"/>
        <charset val="204"/>
      </rPr>
      <t>R</t>
    </r>
    <r>
      <rPr>
        <sz val="12"/>
        <color indexed="8"/>
        <rFont val="Times New Roman"/>
        <family val="1"/>
        <charset val="204"/>
      </rPr>
      <t xml:space="preserve"> </t>
    </r>
    <r>
      <rPr>
        <sz val="11"/>
        <color indexed="8"/>
        <rFont val="Times New Roman"/>
        <family val="1"/>
        <charset val="204"/>
      </rPr>
      <t>- коэффициент, учитывающий отчисления в социальные фонды</t>
    </r>
  </si>
  <si>
    <t>Рассчитывается отдельно по всем работникам, имеющим разные ставки и роли. Среднечасовая ставка = месячный оклад / 160 часов. Коэффициент R = 1,302.</t>
  </si>
  <si>
    <r>
      <rPr>
        <b/>
        <i/>
        <sz val="8"/>
        <color indexed="8"/>
        <rFont val="Times New Roman"/>
        <family val="1"/>
        <charset val="204"/>
      </rPr>
      <t xml:space="preserve">  </t>
    </r>
    <r>
      <rPr>
        <sz val="12"/>
        <color indexed="8"/>
        <rFont val="Times New Roman"/>
        <family val="1"/>
        <charset val="204"/>
      </rPr>
      <t xml:space="preserve">где </t>
    </r>
    <r>
      <rPr>
        <i/>
        <sz val="11"/>
        <color indexed="8"/>
        <rFont val="Times New Roman"/>
        <family val="1"/>
        <charset val="204"/>
      </rPr>
      <t>t</t>
    </r>
    <r>
      <rPr>
        <i/>
        <vertAlign val="subscript"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месячная трудоемкость выполнения работ по поддержке коммуникаций, часов; </t>
    </r>
    <r>
      <rPr>
        <i/>
        <sz val="11"/>
        <color indexed="8"/>
        <rFont val="Times New Roman"/>
        <family val="1"/>
        <charset val="204"/>
      </rPr>
      <t>Ч</t>
    </r>
    <r>
      <rPr>
        <i/>
        <vertAlign val="subscript"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среднечасовая ставка работника службы поддержки корпоративной сети, выделенных линий и каналов (с учетом премий, компенсаций), руб.; </t>
    </r>
    <r>
      <rPr>
        <i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коэффициент, учитывающий оотчисления в социальные фонды </t>
    </r>
  </si>
  <si>
    <t>1.4. Расходы на оплату труда, связанные с сопровождением и развитием системы, руб.</t>
  </si>
  <si>
    <t>1.4. Расходы на оплату труда, связанные с разработке системы руб.</t>
  </si>
  <si>
    <t>Алгоритм расчета совокупной стоимости владения и оценки эффективности ИТ-проекта</t>
  </si>
  <si>
    <t>Таблица  Д 1.1.1</t>
  </si>
  <si>
    <t>Таблица  Е 1.1.1</t>
  </si>
  <si>
    <t>Таблица  Е 1.1.2</t>
  </si>
  <si>
    <t>Таблица  Е 1.2.1</t>
  </si>
  <si>
    <t>Таблица  Е 1.2.2</t>
  </si>
  <si>
    <t>Таблица  Е 1.2.3</t>
  </si>
  <si>
    <t>1.Ставка дисконтирования (месячная), рассчитанная методом WACC</t>
  </si>
  <si>
    <t>3.Ставка дисконтирования (месячная), скорректированная на инфляцию</t>
  </si>
  <si>
    <t>2. Коэффициент дисконтирования, посчитанный по ставке r мес</t>
  </si>
  <si>
    <t>Таблица  Е 1.3.1</t>
  </si>
  <si>
    <t>Таблица Е 1.3.2</t>
  </si>
  <si>
    <t>Таблица Е 1.3.3</t>
  </si>
  <si>
    <t>Таблица  Е 1.3.4</t>
  </si>
  <si>
    <t>Таблица Е 1.4.3</t>
  </si>
  <si>
    <t>Таблица Е 1.4.4</t>
  </si>
  <si>
    <t>Таблица Е 1.4.1</t>
  </si>
  <si>
    <t>Таблица Е 1.4.2</t>
  </si>
  <si>
    <t>Среднечасовая ставка персонала поддержки общей корпоративной сети, выделенных линий и каналов , руб.</t>
  </si>
  <si>
    <r>
      <t xml:space="preserve"> </t>
    </r>
    <r>
      <rPr>
        <sz val="12"/>
        <color indexed="8"/>
        <rFont val="Times New Roman"/>
        <family val="1"/>
        <charset val="204"/>
      </rPr>
      <t>где t</t>
    </r>
    <r>
      <rPr>
        <b/>
        <vertAlign val="subscript"/>
        <sz val="11"/>
        <color indexed="8"/>
        <rFont val="Times New Roman"/>
        <family val="1"/>
        <charset val="204"/>
      </rPr>
      <t>с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месячная трудоемкость выполнения работ по сопровождению подсистемы (задачи), час.; Ч</t>
    </r>
    <r>
      <rPr>
        <b/>
        <vertAlign val="subscript"/>
        <sz val="11"/>
        <color indexed="8"/>
        <rFont val="Times New Roman"/>
        <family val="1"/>
        <charset val="204"/>
      </rPr>
      <t>с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- среднечасовая ставка работника службы сопровождения/развития (с учетом премий, компенсаций), руб.; </t>
    </r>
    <r>
      <rPr>
        <i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коэффициент, учитывающий отчисления в социальные фонды</t>
    </r>
  </si>
  <si>
    <t xml:space="preserve">расчет производится аналогично   РФОТ1_1  </t>
  </si>
  <si>
    <t>1.4.1. Расходы на оплату труда сотрудников по сопровождению и развитию введенной в эксплуатацию системы по направлениям, руб.</t>
  </si>
  <si>
    <t>1.4.1. Расходы на оплату труда сотрудников по стадиям разработки системы (проектирование, разработка, тестирование, документирование), всего в т.ч.:</t>
  </si>
  <si>
    <t>1.4.2. Расходы на оплату услуг сторонних консультантов и сервисных организаций в части развития и сопровождения системы по направлениям, Всего в т.ч.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</si>
  <si>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 xml:space="preserve">ПО </t>
    </r>
  </si>
  <si>
    <r>
      <t>ССВ=Р</t>
    </r>
    <r>
      <rPr>
        <i/>
        <vertAlign val="subscript"/>
        <sz val="12"/>
        <color indexed="8"/>
        <rFont val="Times New Roman"/>
        <family val="1"/>
        <charset val="204"/>
      </rPr>
      <t>Пр_Р</t>
    </r>
    <r>
      <rPr>
        <i/>
        <sz val="12"/>
        <color indexed="8"/>
        <rFont val="Times New Roman"/>
        <family val="1"/>
        <charset val="204"/>
      </rPr>
      <t>+Р</t>
    </r>
    <r>
      <rPr>
        <i/>
        <vertAlign val="subscript"/>
        <sz val="12"/>
        <color indexed="8"/>
        <rFont val="Times New Roman"/>
        <family val="1"/>
        <charset val="204"/>
      </rPr>
      <t>Пр_Э</t>
    </r>
    <r>
      <rPr>
        <i/>
        <sz val="12"/>
        <color indexed="8"/>
        <rFont val="Times New Roman"/>
        <family val="1"/>
        <charset val="204"/>
      </rPr>
      <t>+Р</t>
    </r>
    <r>
      <rPr>
        <i/>
        <vertAlign val="subscript"/>
        <sz val="12"/>
        <color indexed="8"/>
        <rFont val="Times New Roman"/>
        <family val="1"/>
        <charset val="204"/>
      </rPr>
      <t>Кос</t>
    </r>
    <r>
      <rPr>
        <i/>
        <sz val="12"/>
        <color indexed="8"/>
        <rFont val="Times New Roman"/>
        <family val="1"/>
        <charset val="204"/>
      </rPr>
      <t>+Р</t>
    </r>
    <r>
      <rPr>
        <i/>
        <vertAlign val="subscript"/>
        <sz val="12"/>
        <color indexed="8"/>
        <rFont val="Times New Roman"/>
        <family val="1"/>
        <charset val="204"/>
      </rPr>
      <t>Непр</t>
    </r>
    <r>
      <rPr>
        <i/>
        <sz val="12"/>
        <color indexed="8"/>
        <rFont val="Times New Roman"/>
        <family val="1"/>
        <charset val="204"/>
      </rPr>
      <t xml:space="preserve"> </t>
    </r>
  </si>
  <si>
    <r>
      <t>ССВ</t>
    </r>
    <r>
      <rPr>
        <sz val="12"/>
        <color indexed="8"/>
        <rFont val="Times New Roman"/>
        <family val="1"/>
        <charset val="204"/>
      </rPr>
      <t xml:space="preserve"> на одно рабочее место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</si>
  <si>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Кос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</si>
  <si>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Непр</t>
    </r>
  </si>
  <si>
    <t>1.4.1. Расходы на оплату труда сотрудников по сопровождению и развитию введенной в эксплуатацию системы по направлениям, руб. Всего, в т.ч.</t>
  </si>
  <si>
    <t>Расчет  коэффициента дисконтирования по периодам срока жизни решения</t>
  </si>
  <si>
    <t>5.Чистый дисконтированный денежный поток нарастающим итогом, руб.</t>
  </si>
  <si>
    <t>Таблица  В.1.1.1</t>
  </si>
  <si>
    <t>Таблица В 1.2.1</t>
  </si>
  <si>
    <t>Таблица  В1.2.2</t>
  </si>
  <si>
    <t>Таблица В 1.2.3</t>
  </si>
  <si>
    <t>Таблица В1.3.1</t>
  </si>
  <si>
    <t>Таблица А 1.1.1</t>
  </si>
  <si>
    <t>Таблица А 1.2.1</t>
  </si>
  <si>
    <t>Таблица  А 1.2.2</t>
  </si>
  <si>
    <t>Таблица  А 1.2.3</t>
  </si>
  <si>
    <t>Таблица  А 1.3.1</t>
  </si>
  <si>
    <t>1.4.4. Расходы на оплату услуг консультантов и сервисных организаций в части развития и сопровождения системы по направлениям, руб. Всего, в т.ч.</t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</si>
  <si>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Польз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</si>
  <si>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Прос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</si>
  <si>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Польз 1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</si>
  <si>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Польз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</si>
  <si>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Прос 1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</si>
  <si>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Прос 2</t>
    </r>
    <r>
      <rPr>
        <sz val="11"/>
        <color indexed="8"/>
        <rFont val="Arial"/>
        <family val="2"/>
        <charset val="204"/>
      </rPr>
      <t/>
    </r>
  </si>
  <si>
    <r>
      <rPr>
        <sz val="12"/>
        <color indexed="8"/>
        <rFont val="Times New Roman"/>
        <family val="1"/>
        <charset val="204"/>
      </rPr>
      <t>, где t</t>
    </r>
    <r>
      <rPr>
        <b/>
        <vertAlign val="subscript"/>
        <sz val="11"/>
        <color indexed="8"/>
        <rFont val="Times New Roman"/>
        <family val="1"/>
        <charset val="204"/>
      </rPr>
      <t>Ос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месячная трудоемкость выполнения работ по сопровождению общесистемных ресурсов; Ккфот - коэффициент, характеризующий долю времени, которую работник тратит на работу с системой,Ч</t>
    </r>
    <r>
      <rPr>
        <b/>
        <sz val="11"/>
        <color indexed="8"/>
        <rFont val="Times New Roman"/>
        <family val="1"/>
        <charset val="204"/>
      </rPr>
      <t xml:space="preserve">Ос </t>
    </r>
    <r>
      <rPr>
        <sz val="12"/>
        <color indexed="8"/>
        <rFont val="Times New Roman"/>
        <family val="1"/>
        <charset val="204"/>
      </rPr>
      <t>- среднечасовая ставка работника службы сопровождения (с учетом премий, компенсаций); R - коэффициент, учитывающий отчисления в социальные фонды</t>
    </r>
  </si>
  <si>
    <t>1.4. Расходы на оплату труда, связанные с разработкой системы руб.</t>
  </si>
  <si>
    <t>5.Содержание и эксплуатация  информационных систем, используемых  при реализации бизнес-процесса по старой схеме (без учета ФОТа персонала, указ. в п.3)</t>
  </si>
  <si>
    <t>S</t>
  </si>
  <si>
    <t>Алгоритм расчета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</si>
  <si>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>чение</t>
    </r>
  </si>
  <si>
    <t>4. Коэффициент дисконтирования, посчитанный по ставке r корр</t>
  </si>
  <si>
    <r>
      <t>r</t>
    </r>
    <r>
      <rPr>
        <vertAlign val="subscript"/>
        <sz val="12"/>
        <color indexed="8"/>
        <rFont val="Times New Roman"/>
        <family val="1"/>
        <charset val="204"/>
      </rPr>
      <t>мес</t>
    </r>
  </si>
  <si>
    <r>
      <t>k</t>
    </r>
    <r>
      <rPr>
        <vertAlign val="subscript"/>
        <sz val="12"/>
        <color indexed="8"/>
        <rFont val="Times New Roman"/>
        <family val="1"/>
        <charset val="204"/>
      </rPr>
      <t>Dмес</t>
    </r>
  </si>
  <si>
    <r>
      <t>r</t>
    </r>
    <r>
      <rPr>
        <vertAlign val="subscript"/>
        <sz val="12"/>
        <color indexed="8"/>
        <rFont val="Times New Roman"/>
        <family val="1"/>
        <charset val="204"/>
      </rPr>
      <t>корр_мес</t>
    </r>
  </si>
  <si>
    <r>
      <t>k</t>
    </r>
    <r>
      <rPr>
        <vertAlign val="subscript"/>
        <sz val="12"/>
        <color indexed="8"/>
        <rFont val="Times New Roman"/>
        <family val="1"/>
        <charset val="204"/>
      </rPr>
      <t>Dкорр_мес</t>
    </r>
  </si>
  <si>
    <t>СF</t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</si>
  <si>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D</t>
    </r>
  </si>
  <si>
    <r>
      <t>r</t>
    </r>
    <r>
      <rPr>
        <i/>
        <vertAlign val="subscript"/>
        <sz val="12"/>
        <color indexed="8"/>
        <rFont val="Times New Roman"/>
        <family val="1"/>
        <charset val="204"/>
      </rPr>
      <t>корр</t>
    </r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</si>
  <si>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Dкорр</t>
    </r>
  </si>
  <si>
    <t>3. Коэффициент дисконтирования, посчитанный по ставке r мес</t>
  </si>
  <si>
    <r>
      <t xml:space="preserve">Показатели эффективности ИТ-проекта (тип </t>
    </r>
    <r>
      <rPr>
        <b/>
        <sz val="13"/>
        <rFont val="Times New Roman"/>
        <family val="1"/>
        <charset val="204"/>
      </rPr>
      <t>1)</t>
    </r>
  </si>
  <si>
    <t>Показатели эффективности ИТ-проекта (тип 2)</t>
  </si>
  <si>
    <r>
      <t>Показатели эффективности ИТ-проекта (тип 1) (</t>
    </r>
    <r>
      <rPr>
        <b/>
        <sz val="13"/>
        <rFont val="Times New Roman"/>
        <family val="1"/>
        <charset val="204"/>
      </rPr>
      <t>помесячно</t>
    </r>
    <r>
      <rPr>
        <b/>
        <sz val="13"/>
        <color indexed="8"/>
        <rFont val="Times New Roman"/>
        <family val="1"/>
        <charset val="204"/>
      </rPr>
      <t>)</t>
    </r>
  </si>
  <si>
    <r>
      <t>Показатели эффективности ИТ-проекта (тип 2) (</t>
    </r>
    <r>
      <rPr>
        <b/>
        <sz val="13"/>
        <rFont val="Times New Roman"/>
        <family val="1"/>
        <charset val="204"/>
      </rPr>
      <t>помесячно</t>
    </r>
    <r>
      <rPr>
        <b/>
        <sz val="13"/>
        <color indexed="8"/>
        <rFont val="Times New Roman"/>
        <family val="1"/>
        <charset val="204"/>
      </rPr>
      <t>)</t>
    </r>
  </si>
  <si>
    <r>
      <t>w</t>
    </r>
    <r>
      <rPr>
        <i/>
        <vertAlign val="subscript"/>
        <sz val="12"/>
        <color indexed="8"/>
        <rFont val="Times New Roman"/>
        <family val="1"/>
        <charset val="204"/>
      </rPr>
      <t>ск</t>
    </r>
  </si>
  <si>
    <r>
      <t>w</t>
    </r>
    <r>
      <rPr>
        <i/>
        <vertAlign val="subscript"/>
        <sz val="12"/>
        <color indexed="8"/>
        <rFont val="Times New Roman"/>
        <family val="1"/>
        <charset val="204"/>
      </rPr>
      <t>зк</t>
    </r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</si>
  <si>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ck</t>
    </r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</si>
  <si>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зк</t>
    </r>
  </si>
  <si>
    <r>
      <t>CF</t>
    </r>
    <r>
      <rPr>
        <i/>
        <vertAlign val="subscript"/>
        <sz val="12"/>
        <color indexed="8"/>
        <rFont val="Times New Roman"/>
        <family val="1"/>
        <charset val="204"/>
      </rPr>
      <t>C</t>
    </r>
  </si>
  <si>
    <r>
      <t>CF</t>
    </r>
    <r>
      <rPr>
        <i/>
        <vertAlign val="subscript"/>
        <sz val="12"/>
        <color indexed="8"/>
        <rFont val="Times New Roman"/>
        <family val="1"/>
        <charset val="204"/>
      </rPr>
      <t>D</t>
    </r>
  </si>
  <si>
    <r>
      <t>CF</t>
    </r>
    <r>
      <rPr>
        <i/>
        <vertAlign val="subscript"/>
        <sz val="12"/>
        <color indexed="8"/>
        <rFont val="Times New Roman"/>
        <family val="1"/>
        <charset val="204"/>
      </rPr>
      <t>D_C</t>
    </r>
  </si>
  <si>
    <r>
      <t>CIF</t>
    </r>
    <r>
      <rPr>
        <i/>
        <vertAlign val="subscript"/>
        <sz val="12"/>
        <color indexed="8"/>
        <rFont val="Times New Roman"/>
        <family val="1"/>
        <charset val="204"/>
      </rPr>
      <t>D</t>
    </r>
  </si>
  <si>
    <r>
      <t>COFэ</t>
    </r>
    <r>
      <rPr>
        <i/>
        <vertAlign val="subscript"/>
        <sz val="12"/>
        <color indexed="8"/>
        <rFont val="Times New Roman"/>
        <family val="1"/>
        <charset val="204"/>
      </rPr>
      <t>D</t>
    </r>
  </si>
  <si>
    <r>
      <t>COFи</t>
    </r>
    <r>
      <rPr>
        <i/>
        <vertAlign val="subscript"/>
        <sz val="12"/>
        <color indexed="8"/>
        <rFont val="Times New Roman"/>
        <family val="1"/>
        <charset val="204"/>
      </rPr>
      <t>D</t>
    </r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</si>
  <si>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D мес</t>
    </r>
  </si>
  <si>
    <r>
      <t>CIF</t>
    </r>
    <r>
      <rPr>
        <i/>
        <vertAlign val="subscript"/>
        <sz val="12"/>
        <color indexed="8"/>
        <rFont val="Times New Roman"/>
        <family val="1"/>
        <charset val="204"/>
      </rPr>
      <t>П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</si>
  <si>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Ам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</si>
  <si>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П_Р</t>
    </r>
    <r>
      <rPr>
        <i/>
        <sz val="12"/>
        <color indexed="8"/>
        <rFont val="Times New Roman"/>
        <family val="1"/>
        <charset val="204"/>
      </rPr>
      <t xml:space="preserve"> 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</si>
  <si>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П_Э</t>
    </r>
  </si>
  <si>
    <r>
      <t>СF</t>
    </r>
    <r>
      <rPr>
        <i/>
        <vertAlign val="subscript"/>
        <sz val="12"/>
        <color indexed="8"/>
        <rFont val="Times New Roman"/>
        <family val="1"/>
        <charset val="204"/>
      </rPr>
      <t>П</t>
    </r>
  </si>
  <si>
    <r>
      <t>CIF</t>
    </r>
    <r>
      <rPr>
        <i/>
        <vertAlign val="subscript"/>
        <sz val="12"/>
        <color indexed="8"/>
        <rFont val="Times New Roman"/>
        <family val="1"/>
        <charset val="204"/>
      </rPr>
      <t>От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</si>
  <si>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</t>
    </r>
  </si>
  <si>
    <r>
      <t>СF</t>
    </r>
    <r>
      <rPr>
        <i/>
        <vertAlign val="subscript"/>
        <sz val="12"/>
        <color indexed="8"/>
        <rFont val="Times New Roman"/>
        <family val="1"/>
        <charset val="204"/>
      </rPr>
      <t>От</t>
    </r>
  </si>
  <si>
    <r>
      <t>СF</t>
    </r>
    <r>
      <rPr>
        <i/>
        <vertAlign val="subscript"/>
        <sz val="12"/>
        <color indexed="8"/>
        <rFont val="Times New Roman"/>
        <family val="1"/>
        <charset val="204"/>
      </rPr>
      <t xml:space="preserve">C </t>
    </r>
  </si>
  <si>
    <r>
      <t>S</t>
    </r>
    <r>
      <rPr>
        <i/>
        <vertAlign val="subscript"/>
        <sz val="12"/>
        <color indexed="8"/>
        <rFont val="Times New Roman"/>
        <family val="1"/>
        <charset val="204"/>
      </rPr>
      <t>Соб</t>
    </r>
  </si>
  <si>
    <r>
      <t>S</t>
    </r>
    <r>
      <rPr>
        <i/>
        <vertAlign val="subscript"/>
        <sz val="12"/>
        <color indexed="8"/>
        <rFont val="Times New Roman"/>
        <family val="1"/>
        <charset val="204"/>
      </rPr>
      <t>Прив</t>
    </r>
  </si>
  <si>
    <r>
      <t>dS</t>
    </r>
    <r>
      <rPr>
        <i/>
        <vertAlign val="subscript"/>
        <sz val="12"/>
        <color indexed="8"/>
        <rFont val="Times New Roman"/>
        <family val="1"/>
        <charset val="204"/>
      </rPr>
      <t xml:space="preserve">Cоб </t>
    </r>
  </si>
  <si>
    <r>
      <t>dS</t>
    </r>
    <r>
      <rPr>
        <i/>
        <vertAlign val="subscript"/>
        <sz val="12"/>
        <color indexed="8"/>
        <rFont val="Times New Roman"/>
        <family val="1"/>
        <charset val="204"/>
      </rPr>
      <t xml:space="preserve">Прив 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</si>
  <si>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От_М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</si>
  <si>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От_ФОТ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</si>
  <si>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От_СтрахВ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</si>
  <si>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От_Экс_ИС</t>
    </r>
  </si>
  <si>
    <r>
      <t>COF</t>
    </r>
    <r>
      <rPr>
        <i/>
        <vertAlign val="subscript"/>
        <sz val="12"/>
        <color indexed="8"/>
        <rFont val="Times New Roman"/>
        <family val="1"/>
        <charset val="204"/>
      </rPr>
      <t>От_Накл</t>
    </r>
  </si>
  <si>
    <t>NTV</t>
  </si>
  <si>
    <t>8. Чистая конечная стоимость</t>
  </si>
  <si>
    <r>
      <t>k</t>
    </r>
    <r>
      <rPr>
        <i/>
        <vertAlign val="subscript"/>
        <sz val="12"/>
        <color indexed="8"/>
        <rFont val="Times New Roman"/>
        <family val="1"/>
        <charset val="204"/>
      </rPr>
      <t>А</t>
    </r>
  </si>
  <si>
    <r>
      <t>CF</t>
    </r>
    <r>
      <rPr>
        <i/>
        <vertAlign val="subscript"/>
        <sz val="12"/>
        <color indexed="8"/>
        <rFont val="Times New Roman"/>
        <family val="1"/>
        <charset val="204"/>
      </rPr>
      <t>А</t>
    </r>
  </si>
  <si>
    <r>
      <t>CF</t>
    </r>
    <r>
      <rPr>
        <i/>
        <vertAlign val="subscript"/>
        <sz val="12"/>
        <color indexed="8"/>
        <rFont val="Times New Roman"/>
        <family val="1"/>
        <charset val="204"/>
      </rPr>
      <t>А_C</t>
    </r>
  </si>
  <si>
    <t>9. Коэффициент наращения, посчитанный по ставке r</t>
  </si>
  <si>
    <t>10.Чистый денежный поток, приведенный к моменту окончания проекта, руб.</t>
  </si>
  <si>
    <t>11.Чистый денежный поток нарастающим итогом, приведенный к моменту окончания проекта, руб.</t>
  </si>
  <si>
    <t>6. Коэффициент наращения, посчитанный по ставке r</t>
  </si>
  <si>
    <t>7.Чистый денежный поток, приведенный к моменту окончания проекта, руб.</t>
  </si>
  <si>
    <t>8.Чистый денежный поток нарастающим итогом, приведенный к моменту окончания проекта, руб.</t>
  </si>
  <si>
    <t>Расчет дисконтированных и наращенных значений чистого денежного потока для  ИТ-проекта типа 1</t>
  </si>
  <si>
    <t>Расчет дисконтированных и наращенных значений чистого денежного потока для  ИТ-проекта 2-го типа</t>
  </si>
  <si>
    <t xml:space="preserve">Справочник статей расходов (условно-прямых), связанных с разработкой ИТ-проекта </t>
  </si>
  <si>
    <t>Справочник статей расходов (условно-косвенных), связанных с эксплуатацией ИТ-проекта</t>
  </si>
  <si>
    <t>Определение источников и сумм финансирования ИТ-проекта</t>
  </si>
  <si>
    <t>Среднемесячные затраты времени сотрудников на самообучение</t>
  </si>
  <si>
    <t>Среднемесячные затраты времени сотрудников на обслуживание файлов и баз данных</t>
  </si>
  <si>
    <t>Среднечасовая ставка лиц, работающих с системой в период эксплуатации, руб.</t>
  </si>
  <si>
    <t>Коэффициент отчисления в социальные фонды</t>
  </si>
  <si>
    <t>Стоимость обслуживания общесистемного оборудования годовая</t>
  </si>
  <si>
    <t>Расходы на закупку общесистемного ПО</t>
  </si>
  <si>
    <r>
      <rPr>
        <b/>
        <sz val="13"/>
        <rFont val="Times New Roman"/>
        <family val="1"/>
      </rPr>
      <t>Показатель</t>
    </r>
  </si>
  <si>
    <r>
      <rPr>
        <sz val="13"/>
        <rFont val="Times New Roman"/>
        <family val="1"/>
      </rPr>
      <t>Количество автоматизируемых рабочих мест</t>
    </r>
  </si>
  <si>
    <t>Количество ранее закупленных ПК, используемых на этапе эксплуатации системы</t>
  </si>
  <si>
    <t>Стоимость ПК для разработки  системы</t>
  </si>
  <si>
    <r>
      <rPr>
        <sz val="13"/>
        <rFont val="Times New Roman"/>
        <family val="1"/>
      </rPr>
      <t>Среднечасовая ставка лиц, работающих с системой на этапе эксплуатации в части сопровождения и развития , руб.</t>
    </r>
  </si>
  <si>
    <t>Фонд времени работы инженера по сопровождению на этапе эксплуатации системы в месяц, часов</t>
  </si>
  <si>
    <t>Фонд времени работы инженера по развитию на этапе эксплуатации системы в месяц, часов</t>
  </si>
  <si>
    <t>Затраты на повышение квалификации персонала в части ИТ</t>
  </si>
  <si>
    <r>
      <rPr>
        <sz val="13"/>
        <rFont val="Times New Roman"/>
        <family val="1"/>
      </rPr>
      <t>Фонд времени работы оператора системы в месяц</t>
    </r>
  </si>
  <si>
    <r>
      <rPr>
        <sz val="13"/>
        <rFont val="Times New Roman"/>
        <family val="1"/>
      </rPr>
      <t>Стоимость доступа в Интернет за месяц, руб.</t>
    </r>
  </si>
  <si>
    <r>
      <rPr>
        <sz val="13"/>
        <rFont val="Times New Roman"/>
        <family val="1"/>
      </rPr>
      <t>Доля часов простоя в соответствии с плановыми или внеплановыми остановками в работе</t>
    </r>
  </si>
  <si>
    <r>
      <rPr>
        <sz val="13"/>
        <rFont val="Times New Roman"/>
        <family val="1"/>
      </rPr>
      <t>Доля простоя по вине пользователя</t>
    </r>
  </si>
  <si>
    <r>
      <rPr>
        <sz val="13"/>
        <rFont val="Times New Roman"/>
        <family val="1"/>
      </rPr>
      <t>Инфляция (</t>
    </r>
    <r>
      <rPr>
        <i/>
        <sz val="13"/>
        <rFont val="Times New Roman"/>
        <family val="1"/>
      </rPr>
      <t>h</t>
    </r>
    <r>
      <rPr>
        <sz val="13"/>
        <rFont val="Times New Roman"/>
        <family val="1"/>
      </rPr>
      <t>), %</t>
    </r>
  </si>
  <si>
    <t>Значение</t>
  </si>
  <si>
    <t>Таблица Б 1.1.1</t>
  </si>
  <si>
    <t>Замена программной системы и общесистемного оборудования  по истечении срока службы, лет</t>
  </si>
  <si>
    <t>Стоимость 1 кВт/ч электроэнергии, руб.</t>
  </si>
  <si>
    <t>Стоимость расходных материалов (бумага, картриджи, канцтовары) в месяц, руб.</t>
  </si>
  <si>
    <t>Суммарная мощность электрооборудования, кВт</t>
  </si>
  <si>
    <t>Количество используемых ноутбуков на этапе разработки</t>
  </si>
  <si>
    <t>Количество ПК для разработки системы</t>
  </si>
  <si>
    <t>Стоимость аренды облачного сервера в месяц, руб.</t>
  </si>
  <si>
    <t>Фонд времени работы оборудования на этапе разработки системы в месяц, часов</t>
  </si>
  <si>
    <t>Стоимость аренды ПО в месяц, руб</t>
  </si>
  <si>
    <t>Стоимость ранее закупленного ПО, используемого для разработки</t>
  </si>
  <si>
    <t>Срок службы ПО, месяцев</t>
  </si>
  <si>
    <t>Срок службы ПК и ноутбуков, месяцев</t>
  </si>
  <si>
    <t>Фонд времени работы проектировщика на этапе разработки системы в месяц, часов</t>
  </si>
  <si>
    <t>Фонд времени работы разработчика на этапе разработки системы в месяц, часов</t>
  </si>
  <si>
    <t>Фонд времени работы тестировщика на этапе разработки системы в месяц, часов</t>
  </si>
  <si>
    <t>Фонд времени работы инженера по стандартизации на этапе разработки системы в месяц, часов</t>
  </si>
  <si>
    <t>Расчет условно-прямых расходов, связанных с разработкой ИТ-проекта</t>
  </si>
  <si>
    <t>При упрощенном расчете рассчитываются только для этапа эксплуатации решения. Учитывается часть расходов на систему информационного менеджмента организации (общесистемных), относящаяся к рассматриваемой подсистеме (задаче)</t>
  </si>
  <si>
    <t>Коэффициент простоев КПрос 1 оценивается экспертным путем на основании имеющейся статистики</t>
  </si>
  <si>
    <t>Коэффициент потерь КПрос 2 оценивается экспертным путем на основании имеющейся статистики</t>
  </si>
  <si>
    <r>
      <rPr>
        <i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где t</t>
    </r>
    <r>
      <rPr>
        <b/>
        <vertAlign val="subscript"/>
        <sz val="11"/>
        <color indexed="8"/>
        <rFont val="Times New Roman"/>
        <family val="1"/>
        <charset val="204"/>
      </rPr>
      <t>П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суммарные месячные затраты времени сотрудников на самообучение, час.; Ч</t>
    </r>
    <r>
      <rPr>
        <b/>
        <vertAlign val="subscript"/>
        <sz val="11"/>
        <color indexed="8"/>
        <rFont val="Times New Roman"/>
        <family val="1"/>
        <charset val="204"/>
      </rPr>
      <t>П</t>
    </r>
    <r>
      <rPr>
        <sz val="12"/>
        <color indexed="8"/>
        <rFont val="Times New Roman"/>
        <family val="1"/>
        <charset val="204"/>
      </rPr>
      <t>- среднечасовая ставка работника (с учетом премий, компенсаций), руб.; R - коэффициент, учитывающий отчисления в социальные фонды</t>
    </r>
  </si>
  <si>
    <r>
      <t xml:space="preserve">где </t>
    </r>
    <r>
      <rPr>
        <i/>
        <sz val="11"/>
        <color indexed="8"/>
        <rFont val="Times New Roman"/>
        <family val="1"/>
        <charset val="204"/>
      </rPr>
      <t>t</t>
    </r>
    <r>
      <rPr>
        <i/>
        <vertAlign val="subscript"/>
        <sz val="11"/>
        <color indexed="8"/>
        <rFont val="Times New Roman"/>
        <family val="1"/>
        <charset val="204"/>
      </rPr>
      <t>Ф</t>
    </r>
    <r>
      <rPr>
        <sz val="12"/>
        <color indexed="8"/>
        <rFont val="Times New Roman"/>
        <family val="1"/>
        <charset val="204"/>
      </rPr>
      <t xml:space="preserve"> - суммарные месячные затраты времени сотрудников на обслуживание файлов и баз данных, час.; Чп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- среднечасовая ставка работника (с учетом премий, компенсаций), руб.; </t>
    </r>
    <r>
      <rPr>
        <i/>
        <sz val="11"/>
        <color indexed="8"/>
        <rFont val="Times New Roman"/>
        <family val="1"/>
        <charset val="204"/>
      </rPr>
      <t>R</t>
    </r>
    <r>
      <rPr>
        <sz val="12"/>
        <color indexed="8"/>
        <rFont val="Times New Roman"/>
        <family val="1"/>
        <charset val="204"/>
      </rPr>
      <t xml:space="preserve"> - коэффициент, учитывающий отчисления в социальные фонды</t>
    </r>
  </si>
  <si>
    <r>
      <t>где F</t>
    </r>
    <r>
      <rPr>
        <i/>
        <vertAlign val="subscript"/>
        <sz val="11"/>
        <color indexed="8"/>
        <rFont val="Times New Roman"/>
        <family val="1"/>
        <charset val="204"/>
      </rPr>
      <t>П</t>
    </r>
    <r>
      <rPr>
        <sz val="12"/>
        <color indexed="8"/>
        <rFont val="Times New Roman"/>
        <family val="1"/>
        <charset val="204"/>
      </rPr>
      <t xml:space="preserve"> - месячный фонд времени работы персонала, работающего с подсистемой (задачей); К</t>
    </r>
    <r>
      <rPr>
        <b/>
        <vertAlign val="subscript"/>
        <sz val="11"/>
        <color indexed="8"/>
        <rFont val="Times New Roman"/>
        <family val="1"/>
        <charset val="204"/>
      </rPr>
      <t>Прос 1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доля времени простоев= 0,0125; N</t>
    </r>
    <r>
      <rPr>
        <b/>
        <vertAlign val="subscript"/>
        <sz val="11"/>
        <color indexed="8"/>
        <rFont val="Times New Roman"/>
        <family val="1"/>
        <charset val="204"/>
      </rPr>
      <t>П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численность персонала; Чп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- среднечасовая ставка работника (с учетом премий, компенсаций); </t>
    </r>
    <r>
      <rPr>
        <i/>
        <sz val="11"/>
        <color indexed="8"/>
        <rFont val="Times New Roman"/>
        <family val="1"/>
        <charset val="204"/>
      </rPr>
      <t xml:space="preserve">К- </t>
    </r>
    <r>
      <rPr>
        <sz val="11"/>
        <color indexed="8"/>
        <rFont val="Times New Roman"/>
        <family val="1"/>
        <charset val="204"/>
      </rPr>
      <t>коэффициент отчислений в социальные фонды</t>
    </r>
  </si>
  <si>
    <r>
      <t xml:space="preserve"> где </t>
    </r>
    <r>
      <rPr>
        <i/>
        <sz val="11"/>
        <color indexed="8"/>
        <rFont val="Times New Roman"/>
        <family val="1"/>
        <charset val="204"/>
      </rPr>
      <t>F</t>
    </r>
    <r>
      <rPr>
        <i/>
        <vertAlign val="subscript"/>
        <sz val="11"/>
        <color indexed="8"/>
        <rFont val="Times New Roman"/>
        <family val="1"/>
        <charset val="204"/>
      </rPr>
      <t>П</t>
    </r>
    <r>
      <rPr>
        <sz val="12"/>
        <color indexed="8"/>
        <rFont val="Times New Roman"/>
        <family val="1"/>
        <charset val="204"/>
      </rPr>
      <t xml:space="preserve"> - месячный фонд времени работы персонала, работающего с подсистемой (задачей);К</t>
    </r>
    <r>
      <rPr>
        <b/>
        <vertAlign val="subscript"/>
        <sz val="11"/>
        <color indexed="8"/>
        <rFont val="Times New Roman"/>
        <family val="1"/>
        <charset val="204"/>
      </rPr>
      <t>Прос 2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доля времени потерь=0,05; N</t>
    </r>
    <r>
      <rPr>
        <b/>
        <vertAlign val="subscript"/>
        <sz val="11"/>
        <color indexed="8"/>
        <rFont val="Times New Roman"/>
        <family val="1"/>
        <charset val="204"/>
      </rPr>
      <t>П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численность персонала; Ч</t>
    </r>
    <r>
      <rPr>
        <b/>
        <sz val="11"/>
        <color indexed="8"/>
        <rFont val="Times New Roman"/>
        <family val="1"/>
        <charset val="204"/>
      </rPr>
      <t xml:space="preserve">п </t>
    </r>
    <r>
      <rPr>
        <sz val="12"/>
        <color indexed="8"/>
        <rFont val="Times New Roman"/>
        <family val="1"/>
        <charset val="204"/>
      </rPr>
      <t xml:space="preserve">- среднечасовая ставка работника (с учетом премий, компенсаций); </t>
    </r>
    <r>
      <rPr>
        <i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коэффициент отчислений в социальные фонды</t>
    </r>
  </si>
  <si>
    <t>3.2.1. Затраты по количеству часов простоя в соответствии с плановыми или внеплановыми остановками в работе</t>
  </si>
  <si>
    <t>3.2.2. Затраты, соответствующие количеству часов потерь в работе пользователя по вине работника или нехватке возможностей системы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</si>
  <si>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Кос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</si>
  <si>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1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</si>
  <si>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</si>
  <si>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</si>
  <si>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4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</si>
  <si>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5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</si>
  <si>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КОб 6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</si>
  <si>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 xml:space="preserve">УОб 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</si>
  <si>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 xml:space="preserve">КОб </t>
    </r>
    <r>
      <rPr>
        <sz val="11"/>
        <color indexed="8"/>
        <rFont val="Arial"/>
        <family val="2"/>
        <charset val="204"/>
      </rPr>
      <t/>
    </r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</si>
  <si>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где Р</t>
    </r>
    <r>
      <rPr>
        <vertAlign val="subscript"/>
        <sz val="12"/>
        <color indexed="8"/>
        <rFont val="Times New Roman"/>
        <family val="1"/>
        <charset val="204"/>
      </rPr>
      <t>ОРасх</t>
    </r>
    <r>
      <rPr>
        <sz val="12"/>
        <color indexed="8"/>
        <rFont val="Times New Roman"/>
        <family val="1"/>
        <charset val="204"/>
      </rPr>
      <t xml:space="preserve"> - годовая стоимость общесистемных расходных материалов, руб.; </t>
    </r>
    <r>
      <rPr>
        <i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>эи - Коэффициент использования электроустановок (принимается 0,9); Wооб - суммарная установочная мощность общесистемного оборудования, Fооб - годовой фонд времени работы оборудования , ЦЭл - цена одного КВт-часа э/энергии</t>
    </r>
  </si>
  <si>
    <t>2.1.5. Стоимость обслуживания общесистемного оборудования по договору, руб.</t>
  </si>
  <si>
    <t>2.2. Косвенные расходы на общесистемное программное обеспечение (ПО), руб.</t>
  </si>
  <si>
    <t>Доля общесистемных ресурсов, связываемых с рассматриваемой подсистемой. Ррассчитывается следующими способами: 1) отношение прямых расходов на оборудование подсистемы к суммарной величине прямых расходов на оборудование всех подсистем 2) Соотношение объемов занимаемой дисковой памяти на общесистемных ресурсах 3) экспертным путем</t>
  </si>
  <si>
    <r>
      <t>Р</t>
    </r>
    <r>
      <rPr>
        <i/>
        <vertAlign val="subscript"/>
        <sz val="11"/>
        <color indexed="8"/>
        <rFont val="Calibri"/>
        <family val="2"/>
        <charset val="204"/>
      </rPr>
      <t xml:space="preserve">КПО 1 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</si>
  <si>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КПО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</si>
  <si>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КПО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</si>
  <si>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КПО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</si>
  <si>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КПО 4</t>
    </r>
    <r>
      <rPr>
        <sz val="11"/>
        <color indexed="8"/>
        <rFont val="Arial"/>
        <family val="2"/>
        <charset val="204"/>
      </rPr>
      <t/>
    </r>
  </si>
  <si>
    <t>2.2.3. Затраты на аренду общесистемного ПО, руб.</t>
  </si>
  <si>
    <r>
      <t>Р</t>
    </r>
    <r>
      <rPr>
        <i/>
        <vertAlign val="subscript"/>
        <sz val="13"/>
        <color indexed="8"/>
        <rFont val="Calibri"/>
        <family val="2"/>
        <charset val="204"/>
      </rPr>
      <t xml:space="preserve">УПО 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</si>
  <si>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КАдм 1</t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</si>
  <si>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 xml:space="preserve">КАдм </t>
    </r>
  </si>
  <si>
    <t>Стоимость работ и услуг по договорам на консультации, прочие услуги и работы, связанные с эксплуатацией системы</t>
  </si>
  <si>
    <t>2.3.3. Расходы на решение задач общесистемного характера, порученных другим организациям в порядке аутсорсинга, руб.</t>
  </si>
  <si>
    <t>Стоимость услуг по договорам аутсорсинга</t>
  </si>
  <si>
    <t>Стоимость услуг по договорам на обучение персонала</t>
  </si>
  <si>
    <t>Доля общесистемных работ, связываемых с рассматриваемой подсистемой. Рассчитывается следующими методами: 1) Отношение прямых расходов на работы с подсистемой к суммарной величине прямых расходов на работы для всех подсистем. 2)  экспертным путем.</t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</si>
  <si>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КАдм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</si>
  <si>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КАдм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</si>
  <si>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1"/>
        <color indexed="8"/>
        <rFont val="Calibri"/>
        <family val="2"/>
        <charset val="204"/>
      </rPr>
      <t>КАдм 4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</si>
  <si>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 xml:space="preserve">УАдм </t>
    </r>
    <r>
      <rPr>
        <sz val="11"/>
        <color indexed="8"/>
        <rFont val="Arial"/>
        <family val="2"/>
        <charset val="204"/>
      </rPr>
      <t/>
    </r>
  </si>
  <si>
    <t xml:space="preserve">Стоимость по договору обслуживания </t>
  </si>
  <si>
    <t>Стоимость по договору аренды</t>
  </si>
  <si>
    <t>Стоимость по договорам обновления ПО, поддержки и сопровождения</t>
  </si>
  <si>
    <t>Доля общесистемных ресурсов, связываемых рассматриваемой подсистемой. Рассчитывается как 1) Отношение прямых расходов на ПО подсистемы к суммарной величине прямых расходов на ПО всех подсистем 2) Соотношением объемов занимаемой дисковой памяти на общесистемных ресурсах 3) экспертным путем</t>
  </si>
  <si>
    <t>1.1.3. Расходы на комплектующие, руб.</t>
  </si>
  <si>
    <r>
      <rPr>
        <sz val="12"/>
        <color indexed="8"/>
        <rFont val="Times New Roman"/>
        <family val="1"/>
        <charset val="204"/>
      </rPr>
      <t xml:space="preserve"> где Р</t>
    </r>
    <r>
      <rPr>
        <b/>
        <vertAlign val="subscript"/>
        <sz val="11"/>
        <color indexed="8"/>
        <rFont val="Times New Roman"/>
        <family val="1"/>
        <charset val="204"/>
      </rPr>
      <t>Расх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стоимость расходных материалов, руб.; К</t>
    </r>
    <r>
      <rPr>
        <vertAlign val="subscript"/>
        <sz val="12"/>
        <color indexed="8"/>
        <rFont val="Times New Roman"/>
        <family val="1"/>
        <charset val="204"/>
      </rPr>
      <t>эи</t>
    </r>
    <r>
      <rPr>
        <sz val="12"/>
        <color indexed="8"/>
        <rFont val="Times New Roman"/>
        <family val="1"/>
        <charset val="204"/>
      </rPr>
      <t xml:space="preserve"> - Коэффициент использования электроустановок (принимается равным 0,9); </t>
    </r>
    <r>
      <rPr>
        <i/>
        <sz val="11"/>
        <color indexed="8"/>
        <rFont val="Sylfaen"/>
        <family val="1"/>
        <charset val="204"/>
      </rPr>
      <t>W</t>
    </r>
    <r>
      <rPr>
        <i/>
        <vertAlign val="subscript"/>
        <sz val="11"/>
        <color indexed="8"/>
        <rFont val="Times New Roman"/>
        <family val="1"/>
        <charset val="204"/>
      </rPr>
      <t>Об</t>
    </r>
    <r>
      <rPr>
        <sz val="12"/>
        <color indexed="8"/>
        <rFont val="Times New Roman"/>
        <family val="1"/>
        <charset val="204"/>
      </rPr>
      <t xml:space="preserve"> - суммарная установочная мощность оборудования, КВт.; Fоб -  фонд времени работы оборудования, часы, ЦЭл - цена одного КВт-часа э/энергии, руб.</t>
    </r>
  </si>
  <si>
    <t>Стоимость по договору обслуживания, руб.</t>
  </si>
  <si>
    <t>Стоимость по договору аренды, руб.</t>
  </si>
  <si>
    <t>Стоимость стоимость по договорам обновления ПО, поддержки и сопровождения</t>
  </si>
  <si>
    <t>Стоимость по договорам аутсорсинга</t>
  </si>
  <si>
    <t>Стоимость услуг по договорам аренды</t>
  </si>
  <si>
    <t>Стоимость услуг по договорам обеспечения удаленного доступа</t>
  </si>
  <si>
    <t>Стоимость услуг по договорам поддержки корпоративных сетей передачи данных</t>
  </si>
  <si>
    <r>
      <rPr>
        <sz val="12"/>
        <color indexed="8"/>
        <rFont val="Times New Roman"/>
        <family val="1"/>
        <charset val="204"/>
      </rPr>
      <t xml:space="preserve"> где Р</t>
    </r>
    <r>
      <rPr>
        <b/>
        <vertAlign val="subscript"/>
        <sz val="11"/>
        <color indexed="8"/>
        <rFont val="Times New Roman"/>
        <family val="1"/>
        <charset val="204"/>
      </rPr>
      <t>Расх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стоимость расходных материалов, руб.; К</t>
    </r>
    <r>
      <rPr>
        <vertAlign val="subscript"/>
        <sz val="12"/>
        <color indexed="8"/>
        <rFont val="Times New Roman"/>
        <family val="1"/>
        <charset val="204"/>
      </rPr>
      <t>эи</t>
    </r>
    <r>
      <rPr>
        <sz val="12"/>
        <color indexed="8"/>
        <rFont val="Times New Roman"/>
        <family val="1"/>
        <charset val="204"/>
      </rPr>
      <t xml:space="preserve"> - Коэффициент использования электроустановок (принимается равным 0,9); </t>
    </r>
    <r>
      <rPr>
        <i/>
        <sz val="11"/>
        <color indexed="8"/>
        <rFont val="Sylfaen"/>
        <family val="1"/>
        <charset val="204"/>
      </rPr>
      <t>W</t>
    </r>
    <r>
      <rPr>
        <i/>
        <vertAlign val="subscript"/>
        <sz val="11"/>
        <color indexed="8"/>
        <rFont val="Times New Roman"/>
        <family val="1"/>
        <charset val="204"/>
      </rPr>
      <t>Об</t>
    </r>
    <r>
      <rPr>
        <sz val="12"/>
        <color indexed="8"/>
        <rFont val="Times New Roman"/>
        <family val="1"/>
        <charset val="204"/>
      </rPr>
      <t xml:space="preserve"> - суммарная установочная мощность оборудования, КВт.; Fоб - фонд времени работы оборудования, часы, ЦЭл - цена одного КВт-часа э/энергии, руб.</t>
    </r>
  </si>
  <si>
    <t>Стоимость по договору обслуживания</t>
  </si>
  <si>
    <t>Стоимость работ и услуг по договорам на консультации, прочие услуги и работы, связанные с эксплуатацией подсистемы или задачи</t>
  </si>
  <si>
    <r>
      <t xml:space="preserve">где </t>
    </r>
    <r>
      <rPr>
        <i/>
        <sz val="11"/>
        <color indexed="8"/>
        <rFont val="Times New Roman"/>
        <family val="1"/>
        <charset val="204"/>
      </rPr>
      <t>F</t>
    </r>
    <r>
      <rPr>
        <i/>
        <vertAlign val="subscript"/>
        <sz val="11"/>
        <color indexed="8"/>
        <rFont val="Times New Roman"/>
        <family val="1"/>
        <charset val="204"/>
      </rPr>
      <t>КАдм</t>
    </r>
    <r>
      <rPr>
        <sz val="12"/>
        <color indexed="8"/>
        <rFont val="Times New Roman"/>
        <family val="1"/>
        <charset val="204"/>
      </rPr>
      <t xml:space="preserve"> - месячный фонд времени работы работников; ЧКА</t>
    </r>
    <r>
      <rPr>
        <i/>
        <sz val="11"/>
        <color indexed="8"/>
        <rFont val="Times New Roman"/>
        <family val="1"/>
        <charset val="204"/>
      </rPr>
      <t>дм</t>
    </r>
    <r>
      <rPr>
        <sz val="12"/>
        <color indexed="8"/>
        <rFont val="Times New Roman"/>
        <family val="1"/>
        <charset val="204"/>
      </rPr>
      <t xml:space="preserve"> - среднечасовая ставка работника (с учетом премий, компенсаций); R-</t>
    </r>
    <r>
      <rPr>
        <i/>
        <sz val="11"/>
        <color indexed="8"/>
        <rFont val="Times New Roman"/>
        <family val="1"/>
        <charset val="204"/>
      </rPr>
      <t xml:space="preserve"> </t>
    </r>
    <r>
      <rPr>
        <sz val="11"/>
        <color indexed="8"/>
        <rFont val="Times New Roman"/>
        <family val="1"/>
        <charset val="204"/>
      </rPr>
      <t xml:space="preserve">коэффициент, учитывающий 
отчисления в социальные фонды </t>
    </r>
  </si>
  <si>
    <t>2.4. Косвенные расходы на оплату труда, связанные с сопровождением и развитием системы, руб.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</si>
  <si>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</si>
  <si>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</si>
  <si>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1_1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</si>
  <si>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1_2</t>
    </r>
  </si>
  <si>
    <t xml:space="preserve">расчет производится аналогично   РКФОТ1_1  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</si>
  <si>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2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</si>
  <si>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2_1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</si>
  <si>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КФОТ 2_2</t>
    </r>
    <r>
      <rPr>
        <sz val="11"/>
        <color indexed="8"/>
        <rFont val="Arial"/>
        <family val="2"/>
        <charset val="204"/>
      </rPr>
      <t/>
    </r>
  </si>
  <si>
    <t>2.4.1. Расходы на оплату труда сотрудников по сопровождению и развитию общесистемных ресурсов информационного менеджмента в течение года, руб., Всего в т.ч.:</t>
  </si>
  <si>
    <t>2.4.2. Расходы на оплату услуг сторонних консультантов и сервисных организаций в части развития и сопровождения общесистемных ресурсов информационного менеджмента в течение года, Всего в т.ч.</t>
  </si>
  <si>
    <r>
      <t>К</t>
    </r>
    <r>
      <rPr>
        <i/>
        <vertAlign val="subscript"/>
        <sz val="12"/>
        <color indexed="8"/>
        <rFont val="Times New Roman"/>
        <family val="1"/>
        <charset val="204"/>
      </rPr>
      <t>УФОТ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</si>
  <si>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ККом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</si>
  <si>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ККом 1</t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</si>
  <si>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ККом 2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</si>
  <si>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ККом 3</t>
    </r>
    <r>
      <rPr>
        <sz val="11"/>
        <color indexed="8"/>
        <rFont val="Arial"/>
        <family val="2"/>
        <charset val="204"/>
      </rPr>
      <t/>
    </r>
  </si>
  <si>
    <r>
      <t>Р</t>
    </r>
    <r>
      <rPr>
        <i/>
        <vertAlign val="subscript"/>
        <sz val="13"/>
        <color indexed="8"/>
        <rFont val="Calibri"/>
        <family val="2"/>
        <charset val="204"/>
      </rPr>
      <t>ККом 4</t>
    </r>
    <r>
      <rPr>
        <sz val="11"/>
        <color indexed="8"/>
        <rFont val="Arial"/>
        <family val="2"/>
        <charset val="204"/>
      </rPr>
      <t/>
    </r>
  </si>
  <si>
    <t>2.5.4. Стоимость поддержки и развития общесистемных корпоративных сетей передачи данных, руб.</t>
  </si>
  <si>
    <r>
      <t>К</t>
    </r>
    <r>
      <rPr>
        <i/>
        <vertAlign val="subscript"/>
        <sz val="12"/>
        <color indexed="8"/>
        <rFont val="Times New Roman"/>
        <family val="1"/>
        <charset val="204"/>
      </rPr>
      <t>УКом</t>
    </r>
    <r>
      <rPr>
        <sz val="11"/>
        <color indexed="8"/>
        <rFont val="Arial"/>
        <family val="2"/>
        <charset val="204"/>
      </rPr>
      <t/>
    </r>
  </si>
  <si>
    <t>при наличии такого персонала.Среднечасовая ставка = месячный оклад / 160 часов. Коэффициент R = 1,302.</t>
  </si>
  <si>
    <r>
      <rPr>
        <i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 где tк - месячная трудоемкость выполнения работ по поддержке коммуникаций, часов; Чк- среднечасовая ставка работника службы поддержки корпоративной сети, выделенных линий и каналов (с учетом премий, компенсаций), руб.; К - коэффициент, учитывающий оотчисления в социальные фонды 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</si>
  <si>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Ком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</si>
  <si>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ФОТ</t>
    </r>
  </si>
  <si>
    <t>расчет производится аналогично   РФОТ1_1</t>
  </si>
  <si>
    <t>расчет производится аналогично   РФОТ1_2</t>
  </si>
  <si>
    <t>расчет производится аналогично   РФОТ1_3</t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</si>
  <si>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Адм</t>
    </r>
  </si>
  <si>
    <r>
      <rPr>
        <b/>
        <i/>
        <sz val="8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где </t>
    </r>
    <r>
      <rPr>
        <i/>
        <sz val="11"/>
        <color indexed="8"/>
        <rFont val="Times New Roman"/>
        <family val="1"/>
        <charset val="204"/>
      </rPr>
      <t>t</t>
    </r>
    <r>
      <rPr>
        <i/>
        <vertAlign val="subscript"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месячная трудоемкость выполнения работ по поддержке коммуникаций, часов; </t>
    </r>
    <r>
      <rPr>
        <i/>
        <sz val="11"/>
        <color indexed="8"/>
        <rFont val="Times New Roman"/>
        <family val="1"/>
        <charset val="204"/>
      </rPr>
      <t>Ч</t>
    </r>
    <r>
      <rPr>
        <i/>
        <vertAlign val="subscript"/>
        <sz val="11"/>
        <color indexed="8"/>
        <rFont val="Times New Roman"/>
        <family val="1"/>
        <charset val="204"/>
      </rPr>
      <t>К</t>
    </r>
    <r>
      <rPr>
        <sz val="12"/>
        <color indexed="8"/>
        <rFont val="Times New Roman"/>
        <family val="1"/>
        <charset val="204"/>
      </rPr>
      <t xml:space="preserve"> - среднечасовая ставка работника службы поддержки корпоративной сети, выделенных линий и каналов (с учетом премий, компенсаций), руб.; </t>
    </r>
    <r>
      <rPr>
        <i/>
        <sz val="11"/>
        <color indexed="8"/>
        <rFont val="Times New Roman"/>
        <family val="1"/>
        <charset val="204"/>
      </rPr>
      <t>R</t>
    </r>
    <r>
      <rPr>
        <sz val="12"/>
        <color indexed="8"/>
        <rFont val="Times New Roman"/>
        <family val="1"/>
        <charset val="204"/>
      </rPr>
      <t xml:space="preserve"> - коэффициент, учитывающий отчисления в социальные фонды</t>
    </r>
  </si>
  <si>
    <r>
      <t>Р</t>
    </r>
    <r>
      <rPr>
        <i/>
        <vertAlign val="subscript"/>
        <sz val="12"/>
        <color indexed="8"/>
        <rFont val="Times New Roman"/>
        <family val="1"/>
        <charset val="204"/>
      </rPr>
      <t>Пр_Э</t>
    </r>
  </si>
  <si>
    <t>Статья затрат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</si>
  <si>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</si>
  <si>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Метод расчета</t>
  </si>
  <si>
    <t>Примечание</t>
  </si>
  <si>
    <t>Поправки</t>
  </si>
  <si>
    <t>1. Условно-прямые расходы, руб.</t>
  </si>
  <si>
    <t>Учитываются расходы, непосредственно относящиеся только к рассматриваемой системе</t>
  </si>
  <si>
    <t>1.1. Расходы на оборудование, руб.</t>
  </si>
  <si>
    <t>1.1.1. Расходы на закупку оборудования, руб.</t>
  </si>
  <si>
    <t>Прямой счет фактических расходов (цена, доставка, монтаж, системное ПО)</t>
  </si>
  <si>
    <t>В случае закупки в период разработки системы</t>
  </si>
  <si>
    <t>1.1.2. Сумма амортизации капитальных вложений в оборудование, руб.</t>
  </si>
  <si>
    <t>В случае использования оборудования, ранее закупленного</t>
  </si>
  <si>
    <t>Прямой счет фактических расходов или с помощью нормативного коэффициента к стоимости оборудования</t>
  </si>
  <si>
    <t>1.1.4. Расходы на эксплуатацию оборудования, предназначенного для разработки системы, руб.</t>
  </si>
  <si>
    <r>
      <rPr>
        <sz val="12"/>
        <color indexed="8"/>
        <rFont val="Times New Roman"/>
        <family val="1"/>
        <charset val="204"/>
      </rPr>
      <t>1.1.5. Стоимость обслуживания оборудования, предназначенного для разработки системы по договору, ру</t>
    </r>
    <r>
      <rPr>
        <vertAlign val="superscript"/>
        <sz val="12"/>
        <color indexed="8"/>
        <rFont val="Times New Roman"/>
        <family val="1"/>
        <charset val="204"/>
      </rPr>
      <t>б</t>
    </r>
    <r>
      <rPr>
        <sz val="12"/>
        <color indexed="8"/>
        <rFont val="Times New Roman"/>
        <family val="1"/>
        <charset val="204"/>
      </rPr>
      <t>.</t>
    </r>
  </si>
  <si>
    <t>В случае наличия такого договора</t>
  </si>
  <si>
    <t>1.1.6. Стоимость аренды оборудования предназначенного для разработки системы, руб.</t>
  </si>
  <si>
    <t>1.2. Расходы на программное обеспечение (ПО), руб.</t>
  </si>
  <si>
    <t>1.2.1. Расходы на закупку ПО, руб.</t>
  </si>
  <si>
    <t>В случае закупки в период жизненного цикла</t>
  </si>
  <si>
    <t>1.2.2. Сумма ежегодного списания затрат на ПО (аналог амортизации), руб.</t>
  </si>
  <si>
    <t>В случае использования ПО, ранее закупленного</t>
  </si>
  <si>
    <t>1.2.3. Затраты на аренду ПО, руб.</t>
  </si>
  <si>
    <t>1.2.4. Стоимость актуализации, поддержки и сопровождения ПО, руб.</t>
  </si>
  <si>
    <t>В случае наличия таких договоров</t>
  </si>
  <si>
    <t>1.3. Административные расходы, руб.</t>
  </si>
  <si>
    <t>проектирование</t>
  </si>
  <si>
    <t>разработка</t>
  </si>
  <si>
    <t>тестирование</t>
  </si>
  <si>
    <t xml:space="preserve"> документирование</t>
  </si>
  <si>
    <t>1.5. Расходы на связь и коммуникации, руб.</t>
  </si>
  <si>
    <t>1.5.1. Расходы на оплату труда персонала поддержки корпоративной сети, выделенных линий и каналов для системы, руб.</t>
  </si>
  <si>
    <t>1.5.2. Расходы на аренду выделенных линий и каналов на этапе разработки системы, руб.</t>
  </si>
  <si>
    <t>1.5.3. Расходы на удаленный доступ на этапе разработки системы, руб.</t>
  </si>
  <si>
    <t>1.5.4. Стоимость поддержки и развития корпоративных сетей передачи данных на этапе разработки системы, руб.</t>
  </si>
  <si>
    <t>Справочник статей расходов (условно-прямых), связанных с эксплуатацией ИТ-проекта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</si>
  <si>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</si>
  <si>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r>
      <rPr>
        <sz val="12"/>
        <color indexed="8"/>
        <rFont val="Times New Roman"/>
        <family val="1"/>
        <charset val="204"/>
      </rPr>
      <t>где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срок полезного использования оборудования (Т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устанавливается исходя из информации о том, сколько будет использоваться данный объект до его полной замены или модернизации. Если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меньше жизненного цикла системы, то на соответствующий год в расчете должны быть заложены расходы на закупку оборудования для замены или модернизации) </t>
    </r>
  </si>
  <si>
    <r>
      <rPr>
        <sz val="12"/>
        <color indexed="8"/>
        <rFont val="Times New Roman"/>
        <family val="1"/>
        <charset val="204"/>
      </rPr>
      <t>1.1.3. Расходы на комплектующие, ру</t>
    </r>
    <r>
      <rPr>
        <vertAlign val="superscript"/>
        <sz val="12"/>
        <color indexed="8"/>
        <rFont val="Times New Roman"/>
        <family val="1"/>
        <charset val="204"/>
      </rPr>
      <t>б</t>
    </r>
    <r>
      <rPr>
        <sz val="12"/>
        <color indexed="8"/>
        <rFont val="Times New Roman"/>
        <family val="1"/>
        <charset val="204"/>
      </rPr>
      <t>.</t>
    </r>
  </si>
  <si>
    <t>1.1.4. Расходы на эксплуатацию оборудования,связанного с эксплуатацией системы руб.</t>
  </si>
  <si>
    <r>
      <rPr>
        <sz val="12"/>
        <color indexed="8"/>
        <rFont val="Times New Roman"/>
        <family val="1"/>
        <charset val="204"/>
      </rPr>
      <t>1.1.5. Стоимость обслуживания оборудования связанного с эксплуатацией системы по договору, ру</t>
    </r>
    <r>
      <rPr>
        <vertAlign val="superscript"/>
        <sz val="12"/>
        <color indexed="8"/>
        <rFont val="Times New Roman"/>
        <family val="1"/>
        <charset val="204"/>
      </rPr>
      <t>б</t>
    </r>
    <r>
      <rPr>
        <sz val="12"/>
        <color indexed="8"/>
        <rFont val="Times New Roman"/>
        <family val="1"/>
        <charset val="204"/>
      </rPr>
      <t>.</t>
    </r>
  </si>
  <si>
    <t>1.1.6. Стоимость аренды оборудования связанного с эксплуатацией системы, руб.</t>
  </si>
  <si>
    <r>
      <rPr>
        <sz val="12"/>
        <color indexed="8"/>
        <rFont val="Times New Roman"/>
        <family val="1"/>
        <charset val="204"/>
      </rPr>
      <t xml:space="preserve"> где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- срок полезного использования ПО (Т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устанавливается исходя из информации о том, сколько будет использоваться данное программное обеспечение до его полной замены. Если Т</t>
    </r>
    <r>
      <rPr>
        <b/>
        <vertAlign val="subscript"/>
        <sz val="11"/>
        <color indexed="8"/>
        <rFont val="Times New Roman"/>
        <family val="1"/>
        <charset val="204"/>
      </rPr>
      <t>П/И</t>
    </r>
    <r>
      <rPr>
        <b/>
        <sz val="11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 xml:space="preserve">меньше жизненного цикла подсистемы (задачи), то на соответствующий год в расчете должны быть заложены расходы на закупку нового программного обеспечения для замены) </t>
    </r>
  </si>
  <si>
    <t>Рассчитывается отдельно по всем работникам, имеющим разные ставки и роли</t>
  </si>
  <si>
    <t>1.3.2. Расходы на консультационные услуги третьих фирм и аналогичные платежи, руб.</t>
  </si>
  <si>
    <t>1.3.3. Расходы на решение задач, порученных другим организациям в порядке аутсорсинга, руб.</t>
  </si>
  <si>
    <t>1.3.4. Затраты на обучение персонала вопросам информационных технологий и систем, руб.</t>
  </si>
  <si>
    <t>1.4. Расходы связанные с сопровождением и развитием системы, руб.</t>
  </si>
  <si>
    <t>сопровождение</t>
  </si>
  <si>
    <t>развитие</t>
  </si>
  <si>
    <t>1.5.2. Расходы на аренду выделенных линий и каналов для системы, руб.</t>
  </si>
  <si>
    <t>1.5.3. Расходы на удаленный доступ для системы, руб.</t>
  </si>
  <si>
    <t>1.5.4. Стоимость поддержки и развития корпоративных сетей передачи данных для системы, руб.</t>
  </si>
  <si>
    <t>Обозна- чение</t>
  </si>
  <si>
    <t>2. Условно-косвенные расходы по подсистеме (системе), руб.</t>
  </si>
  <si>
    <t>2.1. Косвенные расходы на общесистемное оборудование, руб.</t>
  </si>
  <si>
    <t>Часть общих расходов за рассматриваемый год, относящихся к создаваемой системе</t>
  </si>
  <si>
    <t>2.1.1. Расходы на закупку общесистемного оборудования в год, руб.</t>
  </si>
  <si>
    <t>2.1.2. Сумма амортизации капитальных вложений в общесистемное оборудование, руб.</t>
  </si>
  <si>
    <r>
      <rPr>
        <sz val="12"/>
        <color indexed="8"/>
        <rFont val="Times New Roman"/>
        <family val="1"/>
        <charset val="204"/>
      </rPr>
      <t>где Т</t>
    </r>
    <r>
      <rPr>
        <vertAlign val="subscript"/>
        <sz val="12"/>
        <color indexed="8"/>
        <rFont val="Times New Roman"/>
        <family val="1"/>
        <charset val="204"/>
      </rPr>
      <t>П/И</t>
    </r>
    <r>
      <rPr>
        <sz val="12"/>
        <color indexed="8"/>
        <rFont val="Times New Roman"/>
        <family val="1"/>
        <charset val="204"/>
      </rPr>
      <t xml:space="preserve"> - срок полезного использования оборудования (значение выбирается также как для аналогичной статьи условно-прямых расходов)</t>
    </r>
  </si>
  <si>
    <t>В случае использования оборудования, ранее закупленного, или если срок полезного использования меньше длительности жизненного цикла системы</t>
  </si>
  <si>
    <t>2.1.3. Расходы на общесистемные комплектующие за год, руб.</t>
  </si>
  <si>
    <t>2.1.4. Расходы на эксплуатацию общесистемного оборудования, руб.</t>
  </si>
  <si>
    <t>2.1.5. Ежегодная стоимость обслуживания общесистемного оборудования по договору, руб.</t>
  </si>
  <si>
    <t>2.1.6. Ежегодная стоимость аренды общесистемного оборудования, руб.</t>
  </si>
  <si>
    <t>2.1.7. Коэффициент участия общесистемного оборудования в системе</t>
  </si>
  <si>
    <t>2.2.1. Расходы на закупку общесистемного ПО за год, руб.</t>
  </si>
  <si>
    <t>Прямой счет фактических расходов (цена, доставка, установка)</t>
  </si>
  <si>
    <t>2.2.2. Сумма ежегодного списания затрат на общесистемное ПО, руб.</t>
  </si>
  <si>
    <r>
      <rPr>
        <sz val="12"/>
        <color indexed="8"/>
        <rFont val="Times New Roman"/>
        <family val="1"/>
        <charset val="204"/>
      </rPr>
      <t xml:space="preserve"> где Т</t>
    </r>
    <r>
      <rPr>
        <vertAlign val="subscript"/>
        <sz val="12"/>
        <color indexed="8"/>
        <rFont val="Times New Roman"/>
        <family val="1"/>
        <charset val="204"/>
      </rPr>
      <t>П/И</t>
    </r>
    <r>
      <rPr>
        <sz val="12"/>
        <color indexed="8"/>
        <rFont val="Times New Roman"/>
        <family val="1"/>
        <charset val="204"/>
      </rPr>
      <t xml:space="preserve"> - срок полезного использования ПО (значение выбирается также как для аналогичной статьи условно-прямых расходов)</t>
    </r>
  </si>
  <si>
    <t>В случае использования ПО, ранее закупленного, или если его срок полезного использования меньше длительности жизненного цикла системы</t>
  </si>
  <si>
    <t>2.2.3. Ежегодные затраты на аренду общесистемного ПО, руб.</t>
  </si>
  <si>
    <t>2.2.4. Стоимость актуализации, поддержки и сопровождения общесистемного ПО за год, руб.</t>
  </si>
  <si>
    <t>2.2.5. Коэффициент участия общесистемного ПО в подсистеме</t>
  </si>
  <si>
    <t>2.3. Косвенные административные расходы, руб.</t>
  </si>
  <si>
    <t>2.3.1. Расходы на оплату труда лиц, работающих со всей системой (общесистемный персонал), за год, руб.</t>
  </si>
  <si>
    <t>2.3.2. Расходы на консультационные услуги третьих фирм и аналогичные платежи за год, относящиеся ко всей системе организации, руб.</t>
  </si>
  <si>
    <t>2.3.3. Ежегодные расходы на решение задач общесистемного характера, порученных другим организациям в порядке аутсорсинга, руб.</t>
  </si>
  <si>
    <t>2.3.4. Ежегодные затраты на обучение персонала вопросам информационных технологий и систем информационного менеджмента в целом, руб.</t>
  </si>
  <si>
    <t>2.3.5. Коэффициент участия общесистемного персонала в подсистеме</t>
  </si>
  <si>
    <t>Доля общесистемных работ, связываемых с рассматриваемой подсистемой (рассчитывается как отношение прямых расходов на работы с подсистемой к суммарной величине прямых расходов на работы для всех подсистем. Также может оцениваться экспертным путем)</t>
  </si>
  <si>
    <t>2.4.5. Коэффициент участия общесистемных работ в разработке, развитии и сопровождении подсистемы</t>
  </si>
  <si>
    <t>Доля общесистемных работ, связываемых с рассматриваемой системой (рассчитывается как отношение прямых расходов на работы с системой к суммарной величине прямых расходов на работы для всех систем. Также может оцениваться экспертным путем)</t>
  </si>
  <si>
    <t>2.5. Косвенные расходы на связь и коммуникации для рассматриваемой подсистемы (системы), руб.</t>
  </si>
  <si>
    <t>2.5.1. Расходы на оплату труда персонала поддержки общей корпоративной сети, выделенных линий и каналов за год, руб.</t>
  </si>
  <si>
    <t>2.5.2. Расходы на аренду выделенных общесистемных линий и каналов за год, руб.</t>
  </si>
  <si>
    <t>2.5.3. Расходы на удаленный общесистемный доступ за год, руб.</t>
  </si>
  <si>
    <t>2.5.4. Годовая стоимость поддержки и развития общесистемных корпоративных сетей передачи данных, руб.</t>
  </si>
  <si>
    <t>2.5.5. Коэффициент участия общесистемных работ по коммуникациям в разработке, развитии и сопровождении подсистемы</t>
  </si>
  <si>
    <t>Справочник статей расходов (непредвиденных), связанных с эксплуатацией ИТ-проекта</t>
  </si>
  <si>
    <t>3. Непредвиденные расходы, руб.</t>
  </si>
  <si>
    <t>При упрощенном расчете рассчитываются только для этапа эксплуатации решения</t>
  </si>
  <si>
    <t>3.1. Расходы на операции конечных пользователей</t>
  </si>
  <si>
    <t>3.1.1. Сумма оплаты труда, в соответствии с количеством часов, затраченных на самообучение сотрудников</t>
  </si>
  <si>
    <t>3.1.2. Сумма оплаты труда, соответствующая количеству часов на обслуживание файлов, компьютера и программ</t>
  </si>
  <si>
    <t>3.2. Расходы на простои</t>
  </si>
  <si>
    <t>Расчет совокупной стоимости владения для программного решения</t>
  </si>
  <si>
    <t>ИТОГО</t>
  </si>
  <si>
    <r>
      <rPr>
        <i/>
        <sz val="11"/>
        <color indexed="8"/>
        <rFont val="Times New Roman"/>
        <family val="1"/>
        <charset val="204"/>
      </rPr>
      <t>ТСО</t>
    </r>
    <r>
      <rPr>
        <sz val="12"/>
        <color indexed="8"/>
        <rFont val="Times New Roman"/>
        <family val="1"/>
        <charset val="204"/>
      </rPr>
      <t xml:space="preserve"> на одно рабочее место</t>
    </r>
  </si>
  <si>
    <t>Характеризует расходы на одно рабочее место подсистемы (задачи), что дает возможность оценки расходов при изменении масштаба системы</t>
  </si>
  <si>
    <t>Всего</t>
  </si>
  <si>
    <t>месяцев</t>
  </si>
  <si>
    <t>1.1.5. Стоимость обслуживания оборудования, предназначенного для разработки системы по договору, руб.</t>
  </si>
  <si>
    <t>Срок полезного использования ПО 10 лет, если другое не установлено в договором</t>
  </si>
  <si>
    <t>Расчет расходов (условно-прямых), связанных с эксплуатацией ИТ-проекта</t>
  </si>
  <si>
    <r>
      <rPr>
        <b/>
        <sz val="11"/>
        <color indexed="8"/>
        <rFont val="Times New Roman"/>
        <family val="1"/>
        <charset val="204"/>
      </rPr>
      <t>Обозна</t>
    </r>
    <r>
      <rPr>
        <b/>
        <sz val="11"/>
        <color indexed="8"/>
        <rFont val="Times New Roman"/>
        <family val="1"/>
        <charset val="204"/>
      </rPr>
      <t xml:space="preserve">- </t>
    </r>
    <r>
      <rPr>
        <b/>
        <sz val="11"/>
        <color indexed="8"/>
        <rFont val="Times New Roman"/>
        <family val="1"/>
        <charset val="204"/>
      </rPr>
      <t>чение</t>
    </r>
  </si>
  <si>
    <t>в т.ч. по периодам эксплуатации системы</t>
  </si>
  <si>
    <t>1.1.4. Расходы на эксплуатацию оборудования, руб.</t>
  </si>
  <si>
    <t>1.1.6. Стоимость аренды оборудования, руб.</t>
  </si>
  <si>
    <t>Срок службы ранее закупленного общесистемного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</si>
</sst>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#,##0.0"/>
    <numFmt numFmtId="166" formatCode="0.0%"/>
    <numFmt numFmtId="167" formatCode="#,##0.0000"/>
    <numFmt numFmtId="168" formatCode="#,##0.000"/>
  </numFmts>
  <fonts count="67" x14ac:knownFonts="1">
    <font>
      <sz val="10"/>
      <color theme="1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sz val="10"/>
      <color indexed="10"/>
      <name val="Arial"/>
      <family val="2"/>
      <charset val="204"/>
    </font>
    <font>
      <b/>
      <vertAlign val="superscript"/>
      <sz val="12"/>
      <color indexed="8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b/>
      <i/>
      <vertAlign val="superscript"/>
      <sz val="8"/>
      <color indexed="8"/>
      <name val="Times New Roman"/>
      <family val="1"/>
      <charset val="204"/>
    </font>
    <font>
      <b/>
      <i/>
      <vertAlign val="superscript"/>
      <sz val="12"/>
      <color indexed="8"/>
      <name val="Times New Roman"/>
      <family val="1"/>
      <charset val="204"/>
    </font>
    <font>
      <b/>
      <i/>
      <sz val="8"/>
      <color indexed="8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i/>
      <vertAlign val="superscript"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i/>
      <sz val="9"/>
      <color indexed="8"/>
      <name val="Corbel"/>
      <family val="2"/>
      <charset val="204"/>
    </font>
    <font>
      <i/>
      <vertAlign val="superscript"/>
      <sz val="11"/>
      <color indexed="8"/>
      <name val="Times New Roman"/>
      <family val="1"/>
      <charset val="204"/>
    </font>
    <font>
      <b/>
      <sz val="6"/>
      <color indexed="8"/>
      <name val="Merriweather"/>
      <charset val="204"/>
    </font>
    <font>
      <i/>
      <sz val="6"/>
      <color indexed="8"/>
      <name val="Merriweather"/>
      <charset val="204"/>
    </font>
    <font>
      <sz val="10"/>
      <name val="Arial"/>
      <family val="2"/>
      <charset val="204"/>
    </font>
    <font>
      <vertAlign val="superscript"/>
      <sz val="12"/>
      <color indexed="8"/>
      <name val="Times New Roman"/>
      <family val="1"/>
      <charset val="204"/>
    </font>
    <font>
      <b/>
      <vertAlign val="subscript"/>
      <sz val="11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i/>
      <sz val="11"/>
      <color indexed="8"/>
      <name val="Sylfaen"/>
      <family val="1"/>
      <charset val="204"/>
    </font>
    <font>
      <i/>
      <vertAlign val="subscript"/>
      <sz val="11"/>
      <color indexed="8"/>
      <name val="Times New Roman"/>
      <family val="1"/>
      <charset val="204"/>
    </font>
    <font>
      <i/>
      <vertAlign val="subscript"/>
      <sz val="8"/>
      <color indexed="8"/>
      <name val="Times New Roman"/>
      <family val="1"/>
      <charset val="204"/>
    </font>
    <font>
      <vertAlign val="subscript"/>
      <sz val="11"/>
      <color indexed="8"/>
      <name val="Times New Roman"/>
      <family val="1"/>
      <charset val="204"/>
    </font>
    <font>
      <sz val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1"/>
      <color indexed="10"/>
      <name val="Times New Roman"/>
      <family val="1"/>
      <charset val="204"/>
    </font>
    <font>
      <b/>
      <sz val="11"/>
      <color indexed="12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3"/>
      <name val="Times New Roman"/>
      <family val="1"/>
      <charset val="204"/>
    </font>
    <font>
      <i/>
      <vertAlign val="subscript"/>
      <sz val="12"/>
      <color indexed="8"/>
      <name val="Times New Roman"/>
      <family val="1"/>
      <charset val="204"/>
    </font>
    <font>
      <b/>
      <i/>
      <vertAlign val="subscript"/>
      <sz val="12"/>
      <color indexed="8"/>
      <name val="Times New Roman"/>
      <family val="1"/>
      <charset val="204"/>
    </font>
    <font>
      <i/>
      <vertAlign val="subscript"/>
      <sz val="13"/>
      <color indexed="8"/>
      <name val="Calibri"/>
      <family val="2"/>
      <charset val="204"/>
    </font>
    <font>
      <i/>
      <sz val="11"/>
      <color indexed="8"/>
      <name val="Calibri"/>
      <family val="2"/>
      <charset val="204"/>
    </font>
    <font>
      <i/>
      <vertAlign val="subscript"/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b/>
      <sz val="13.5"/>
      <name val="Times New Roman"/>
      <family val="1"/>
      <charset val="204"/>
    </font>
    <font>
      <sz val="13"/>
      <color indexed="8"/>
      <name val="Times New Roman"/>
      <family val="1"/>
      <charset val="204"/>
    </font>
    <font>
      <b/>
      <sz val="14"/>
      <color indexed="8"/>
      <name val="Arial"/>
      <family val="2"/>
      <charset val="204"/>
    </font>
    <font>
      <b/>
      <sz val="8"/>
      <color indexed="10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0"/>
        <bgColor indexed="50"/>
      </patternFill>
    </fill>
    <fill>
      <patternFill patternType="solid">
        <fgColor indexed="11"/>
        <bgColor indexed="11"/>
      </patternFill>
    </fill>
    <fill>
      <patternFill patternType="solid">
        <fgColor indexed="41"/>
        <bgColor indexed="42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4">
    <xf numFmtId="0" fontId="0" fillId="0" borderId="0"/>
    <xf numFmtId="0" fontId="56" fillId="0" borderId="0"/>
    <xf numFmtId="9" fontId="36" fillId="0" borderId="0" applyFont="0" applyFill="0" applyBorder="0" applyAlignment="0" applyProtection="0"/>
    <xf numFmtId="164" fontId="36" fillId="0" borderId="0" applyFont="0" applyFill="0" applyBorder="0" applyAlignment="0" applyProtection="0"/>
  </cellStyleXfs>
  <cellXfs count="237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7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3" fillId="0" borderId="0" xfId="0" applyFont="1" applyAlignment="1">
      <alignment horizontal="right" vertical="top"/>
    </xf>
    <xf numFmtId="0" fontId="20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top"/>
    </xf>
    <xf numFmtId="0" fontId="28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5" fillId="0" borderId="3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9" fontId="2" fillId="5" borderId="0" xfId="0" applyNumberFormat="1" applyFont="1" applyFill="1" applyAlignment="1">
      <alignment vertical="top"/>
    </xf>
    <xf numFmtId="10" fontId="2" fillId="0" borderId="0" xfId="0" applyNumberFormat="1" applyFont="1" applyAlignment="1">
      <alignment vertical="top"/>
    </xf>
    <xf numFmtId="167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3" fontId="41" fillId="0" borderId="1" xfId="0" applyNumberFormat="1" applyFont="1" applyBorder="1" applyAlignment="1">
      <alignment horizontal="center" vertical="center"/>
    </xf>
    <xf numFmtId="3" fontId="40" fillId="0" borderId="1" xfId="0" applyNumberFormat="1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top"/>
    </xf>
    <xf numFmtId="10" fontId="6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wrapText="1"/>
    </xf>
    <xf numFmtId="0" fontId="44" fillId="0" borderId="0" xfId="0" applyFont="1" applyAlignment="1">
      <alignment vertical="top"/>
    </xf>
    <xf numFmtId="0" fontId="3" fillId="0" borderId="1" xfId="0" applyFont="1" applyBorder="1" applyAlignment="1">
      <alignment horizontal="left" wrapText="1" indent="1"/>
    </xf>
    <xf numFmtId="0" fontId="45" fillId="0" borderId="0" xfId="0" applyFont="1" applyAlignment="1">
      <alignment vertical="top"/>
    </xf>
    <xf numFmtId="0" fontId="46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3" fontId="2" fillId="0" borderId="0" xfId="0" applyNumberFormat="1" applyFont="1" applyAlignment="1">
      <alignment vertical="top"/>
    </xf>
    <xf numFmtId="0" fontId="4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10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4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left" wrapText="1"/>
    </xf>
    <xf numFmtId="0" fontId="42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 indent="2"/>
    </xf>
    <xf numFmtId="0" fontId="16" fillId="0" borderId="9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0" fillId="0" borderId="6" xfId="0" applyBorder="1" applyAlignment="1">
      <alignment vertical="top"/>
    </xf>
    <xf numFmtId="0" fontId="5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2"/>
    </xf>
    <xf numFmtId="0" fontId="41" fillId="0" borderId="0" xfId="0" applyFont="1" applyAlignment="1">
      <alignment horizontal="justify" vertical="top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4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165" fontId="42" fillId="0" borderId="1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42" fillId="0" borderId="9" xfId="0" applyNumberFormat="1" applyFont="1" applyBorder="1" applyAlignment="1">
      <alignment horizontal="center" vertical="center"/>
    </xf>
    <xf numFmtId="9" fontId="3" fillId="2" borderId="9" xfId="0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top"/>
    </xf>
    <xf numFmtId="0" fontId="41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0" fontId="58" fillId="0" borderId="6" xfId="1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10" fontId="6" fillId="0" borderId="9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 vertical="center" wrapText="1"/>
    </xf>
    <xf numFmtId="0" fontId="65" fillId="0" borderId="0" xfId="0" applyFont="1" applyAlignment="1">
      <alignment vertical="top"/>
    </xf>
    <xf numFmtId="0" fontId="57" fillId="9" borderId="6" xfId="1" applyFont="1" applyFill="1" applyBorder="1" applyAlignment="1">
      <alignment vertical="top" wrapText="1"/>
    </xf>
    <xf numFmtId="0" fontId="62" fillId="9" borderId="6" xfId="1" applyFont="1" applyFill="1" applyBorder="1" applyAlignment="1">
      <alignment vertical="top" wrapText="1"/>
    </xf>
    <xf numFmtId="166" fontId="2" fillId="0" borderId="0" xfId="2" applyNumberFormat="1" applyFont="1" applyAlignment="1">
      <alignment vertical="top"/>
    </xf>
    <xf numFmtId="0" fontId="57" fillId="0" borderId="6" xfId="1" applyFont="1" applyBorder="1" applyAlignment="1">
      <alignment vertical="top" wrapText="1"/>
    </xf>
    <xf numFmtId="0" fontId="56" fillId="9" borderId="6" xfId="1" applyFill="1" applyBorder="1" applyAlignment="1">
      <alignment vertical="top" wrapText="1"/>
    </xf>
    <xf numFmtId="0" fontId="59" fillId="9" borderId="6" xfId="1" applyFont="1" applyFill="1" applyBorder="1" applyAlignment="1">
      <alignment vertical="top" wrapText="1"/>
    </xf>
    <xf numFmtId="0" fontId="50" fillId="0" borderId="6" xfId="1" applyFont="1" applyBorder="1" applyAlignment="1">
      <alignment horizontal="center" vertical="top" wrapText="1"/>
    </xf>
    <xf numFmtId="168" fontId="3" fillId="2" borderId="6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6" fontId="3" fillId="2" borderId="6" xfId="2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3" fontId="2" fillId="4" borderId="0" xfId="0" applyNumberFormat="1" applyFont="1" applyFill="1" applyAlignment="1">
      <alignment vertical="top"/>
    </xf>
    <xf numFmtId="0" fontId="0" fillId="0" borderId="13" xfId="0" applyBorder="1" applyAlignment="1">
      <alignment vertical="top"/>
    </xf>
    <xf numFmtId="0" fontId="0" fillId="0" borderId="13" xfId="0" applyBorder="1" applyAlignment="1">
      <alignment horizontal="right" vertical="top"/>
    </xf>
    <xf numFmtId="164" fontId="6" fillId="0" borderId="1" xfId="3" applyFont="1" applyBorder="1" applyAlignment="1">
      <alignment horizontal="center" vertical="center"/>
    </xf>
    <xf numFmtId="0" fontId="9" fillId="0" borderId="8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 indent="2"/>
    </xf>
    <xf numFmtId="0" fontId="41" fillId="7" borderId="6" xfId="0" applyFont="1" applyFill="1" applyBorder="1" applyAlignment="1">
      <alignment horizontal="center" vertical="center"/>
    </xf>
    <xf numFmtId="0" fontId="6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6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4" fontId="3" fillId="10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27" fillId="0" borderId="18" xfId="0" applyFont="1" applyBorder="1" applyAlignment="1">
      <alignment vertical="top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7" fillId="0" borderId="3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7" fillId="0" borderId="19" xfId="0" applyFont="1" applyBorder="1" applyAlignment="1">
      <alignment vertical="top"/>
    </xf>
    <xf numFmtId="0" fontId="27" fillId="0" borderId="8" xfId="0" applyFont="1" applyBorder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3" fillId="0" borderId="0" xfId="0" applyFont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14" fillId="0" borderId="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61" fillId="0" borderId="6" xfId="1" applyFont="1" applyBorder="1" applyAlignment="1">
      <alignment horizontal="center" vertical="top"/>
    </xf>
    <xf numFmtId="0" fontId="27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0" borderId="20" xfId="0" applyFont="1" applyBorder="1" applyAlignment="1">
      <alignment vertical="top"/>
    </xf>
    <xf numFmtId="0" fontId="5" fillId="0" borderId="17" xfId="0" applyFont="1" applyBorder="1" applyAlignment="1">
      <alignment horizontal="center" vertical="top" wrapText="1"/>
    </xf>
    <xf numFmtId="0" fontId="27" fillId="0" borderId="11" xfId="0" applyFont="1" applyBorder="1" applyAlignment="1">
      <alignment vertical="top"/>
    </xf>
    <xf numFmtId="0" fontId="5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top" wrapText="1"/>
    </xf>
    <xf numFmtId="0" fontId="0" fillId="0" borderId="19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7" fillId="0" borderId="2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27" fillId="0" borderId="23" xfId="0" applyFont="1" applyBorder="1" applyAlignment="1">
      <alignment vertical="top"/>
    </xf>
    <xf numFmtId="0" fontId="27" fillId="0" borderId="9" xfId="0" applyFont="1" applyBorder="1" applyAlignment="1">
      <alignment vertical="top"/>
    </xf>
    <xf numFmtId="0" fontId="4" fillId="0" borderId="0" xfId="0" applyFont="1" applyAlignment="1">
      <alignment horizontal="center" vertical="center"/>
    </xf>
  </cellXfs>
  <cellStyles count="4">
    <cellStyle name="Обычный" xfId="0" builtinId="0"/>
    <cellStyle name="Обычный_База" xfId="1" xr:uid="{00000000-0005-0000-0000-000001000000}"/>
    <cellStyle name="Процентный" xfId="2" builtinId="5"/>
    <cellStyle name="Финансовый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w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emf"/><Relationship Id="rId5" Type="http://schemas.openxmlformats.org/officeDocument/2006/relationships/image" Target="../media/image5.w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13" Type="http://schemas.openxmlformats.org/officeDocument/2006/relationships/image" Target="../media/image21.emf"/><Relationship Id="rId3" Type="http://schemas.openxmlformats.org/officeDocument/2006/relationships/image" Target="../media/image3.wmf"/><Relationship Id="rId7" Type="http://schemas.openxmlformats.org/officeDocument/2006/relationships/image" Target="../media/image17.emf"/><Relationship Id="rId12" Type="http://schemas.openxmlformats.org/officeDocument/2006/relationships/image" Target="../media/image20.emf"/><Relationship Id="rId2" Type="http://schemas.openxmlformats.org/officeDocument/2006/relationships/image" Target="../media/image1.wmf"/><Relationship Id="rId1" Type="http://schemas.openxmlformats.org/officeDocument/2006/relationships/image" Target="../media/image14.emf"/><Relationship Id="rId6" Type="http://schemas.openxmlformats.org/officeDocument/2006/relationships/image" Target="../media/image16.emf"/><Relationship Id="rId11" Type="http://schemas.openxmlformats.org/officeDocument/2006/relationships/image" Target="../media/image8.emf"/><Relationship Id="rId5" Type="http://schemas.openxmlformats.org/officeDocument/2006/relationships/image" Target="../media/image5.wmf"/><Relationship Id="rId10" Type="http://schemas.openxmlformats.org/officeDocument/2006/relationships/image" Target="../media/image19.emf"/><Relationship Id="rId4" Type="http://schemas.openxmlformats.org/officeDocument/2006/relationships/image" Target="../media/image15.emf"/><Relationship Id="rId9" Type="http://schemas.openxmlformats.org/officeDocument/2006/relationships/image" Target="../media/image10.emf"/><Relationship Id="rId14" Type="http://schemas.openxmlformats.org/officeDocument/2006/relationships/image" Target="../media/image22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30.emf"/><Relationship Id="rId13" Type="http://schemas.openxmlformats.org/officeDocument/2006/relationships/image" Target="../media/image10.emf"/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12" Type="http://schemas.openxmlformats.org/officeDocument/2006/relationships/image" Target="../media/image34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11" Type="http://schemas.openxmlformats.org/officeDocument/2006/relationships/image" Target="../media/image33.emf"/><Relationship Id="rId5" Type="http://schemas.openxmlformats.org/officeDocument/2006/relationships/image" Target="../media/image27.emf"/><Relationship Id="rId15" Type="http://schemas.openxmlformats.org/officeDocument/2006/relationships/image" Target="../media/image35.emf"/><Relationship Id="rId10" Type="http://schemas.openxmlformats.org/officeDocument/2006/relationships/image" Target="../media/image32.emf"/><Relationship Id="rId4" Type="http://schemas.openxmlformats.org/officeDocument/2006/relationships/image" Target="../media/image26.emf"/><Relationship Id="rId9" Type="http://schemas.openxmlformats.org/officeDocument/2006/relationships/image" Target="../media/image31.emf"/><Relationship Id="rId14" Type="http://schemas.openxmlformats.org/officeDocument/2006/relationships/image" Target="../media/image1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42.emf"/><Relationship Id="rId2" Type="http://schemas.openxmlformats.org/officeDocument/2006/relationships/image" Target="../media/image37.emf"/><Relationship Id="rId1" Type="http://schemas.openxmlformats.org/officeDocument/2006/relationships/image" Target="../media/image36.w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3.w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2" Type="http://schemas.openxmlformats.org/officeDocument/2006/relationships/image" Target="../media/image45.wmf"/><Relationship Id="rId1" Type="http://schemas.openxmlformats.org/officeDocument/2006/relationships/image" Target="../media/image44.wmf"/><Relationship Id="rId4" Type="http://schemas.openxmlformats.org/officeDocument/2006/relationships/image" Target="../media/image47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160020</xdr:rowOff>
    </xdr:from>
    <xdr:to>
      <xdr:col>3</xdr:col>
      <xdr:colOff>9525</xdr:colOff>
      <xdr:row>13</xdr:row>
      <xdr:rowOff>0</xdr:rowOff>
    </xdr:to>
    <xdr:sp macro="" textlink="">
      <xdr:nvSpPr>
        <xdr:cNvPr id="15361" name="Rectangle 1">
          <a:extLst>
            <a:ext uri="{FF2B5EF4-FFF2-40B4-BE49-F238E27FC236}">
              <a16:creationId xmlns:a16="http://schemas.microsoft.com/office/drawing/2014/main" id="{60824643-6F17-4456-ADF1-73E7D731E397}"/>
            </a:ext>
          </a:extLst>
        </xdr:cNvPr>
        <xdr:cNvSpPr>
          <a:spLocks noChangeArrowheads="1"/>
        </xdr:cNvSpPr>
      </xdr:nvSpPr>
      <xdr:spPr bwMode="auto">
        <a:xfrm>
          <a:off x="619125" y="1676400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В 1.1.1</a:t>
          </a:r>
        </a:p>
      </xdr:txBody>
    </xdr:sp>
    <xdr:clientData/>
  </xdr:twoCellAnchor>
  <xdr:twoCellAnchor>
    <xdr:from>
      <xdr:col>2</xdr:col>
      <xdr:colOff>594360</xdr:colOff>
      <xdr:row>16</xdr:row>
      <xdr:rowOff>68580</xdr:rowOff>
    </xdr:from>
    <xdr:to>
      <xdr:col>4</xdr:col>
      <xdr:colOff>22860</xdr:colOff>
      <xdr:row>21</xdr:row>
      <xdr:rowOff>106680</xdr:rowOff>
    </xdr:to>
    <xdr:sp macro="" textlink="">
      <xdr:nvSpPr>
        <xdr:cNvPr id="27559" name="Line 2">
          <a:extLst>
            <a:ext uri="{FF2B5EF4-FFF2-40B4-BE49-F238E27FC236}">
              <a16:creationId xmlns:a16="http://schemas.microsoft.com/office/drawing/2014/main" id="{C2798836-EB71-4A89-93F7-651CE6F44445}"/>
            </a:ext>
          </a:extLst>
        </xdr:cNvPr>
        <xdr:cNvSpPr>
          <a:spLocks noChangeShapeType="1"/>
        </xdr:cNvSpPr>
      </xdr:nvSpPr>
      <xdr:spPr bwMode="auto">
        <a:xfrm>
          <a:off x="1813560" y="2804160"/>
          <a:ext cx="647700" cy="876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600075</xdr:colOff>
      <xdr:row>14</xdr:row>
      <xdr:rowOff>142875</xdr:rowOff>
    </xdr:from>
    <xdr:to>
      <xdr:col>2</xdr:col>
      <xdr:colOff>600075</xdr:colOff>
      <xdr:row>17</xdr:row>
      <xdr:rowOff>160048</xdr:rowOff>
    </xdr:to>
    <xdr:sp macro="" textlink="">
      <xdr:nvSpPr>
        <xdr:cNvPr id="15363" name="Rectangle 3">
          <a:extLst>
            <a:ext uri="{FF2B5EF4-FFF2-40B4-BE49-F238E27FC236}">
              <a16:creationId xmlns:a16="http://schemas.microsoft.com/office/drawing/2014/main" id="{81F9DE24-6949-4928-9498-6B87A98099CB}"/>
            </a:ext>
          </a:extLst>
        </xdr:cNvPr>
        <xdr:cNvSpPr>
          <a:spLocks noChangeArrowheads="1"/>
        </xdr:cNvSpPr>
      </xdr:nvSpPr>
      <xdr:spPr bwMode="auto">
        <a:xfrm>
          <a:off x="600075" y="2476500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В 1.2.1</a:t>
          </a:r>
        </a:p>
      </xdr:txBody>
    </xdr:sp>
    <xdr:clientData/>
  </xdr:twoCellAnchor>
  <xdr:twoCellAnchor>
    <xdr:from>
      <xdr:col>0</xdr:col>
      <xdr:colOff>590550</xdr:colOff>
      <xdr:row>25</xdr:row>
      <xdr:rowOff>47625</xdr:rowOff>
    </xdr:from>
    <xdr:to>
      <xdr:col>2</xdr:col>
      <xdr:colOff>590550</xdr:colOff>
      <xdr:row>28</xdr:row>
      <xdr:rowOff>57150</xdr:rowOff>
    </xdr:to>
    <xdr:sp macro="" textlink="">
      <xdr:nvSpPr>
        <xdr:cNvPr id="15364" name="Rectangle 4">
          <a:extLst>
            <a:ext uri="{FF2B5EF4-FFF2-40B4-BE49-F238E27FC236}">
              <a16:creationId xmlns:a16="http://schemas.microsoft.com/office/drawing/2014/main" id="{2974A272-7830-42AF-A65B-3BB07243EEFF}"/>
            </a:ext>
          </a:extLst>
        </xdr:cNvPr>
        <xdr:cNvSpPr>
          <a:spLocks noChangeArrowheads="1"/>
        </xdr:cNvSpPr>
      </xdr:nvSpPr>
      <xdr:spPr bwMode="auto">
        <a:xfrm>
          <a:off x="590550" y="4162425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В 1.2.2</a:t>
          </a:r>
        </a:p>
      </xdr:txBody>
    </xdr:sp>
    <xdr:clientData/>
  </xdr:twoCellAnchor>
  <xdr:twoCellAnchor>
    <xdr:from>
      <xdr:col>2</xdr:col>
      <xdr:colOff>601980</xdr:colOff>
      <xdr:row>21</xdr:row>
      <xdr:rowOff>121920</xdr:rowOff>
    </xdr:from>
    <xdr:to>
      <xdr:col>4</xdr:col>
      <xdr:colOff>7620</xdr:colOff>
      <xdr:row>26</xdr:row>
      <xdr:rowOff>129540</xdr:rowOff>
    </xdr:to>
    <xdr:sp macro="" textlink="">
      <xdr:nvSpPr>
        <xdr:cNvPr id="27562" name="Line 5">
          <a:extLst>
            <a:ext uri="{FF2B5EF4-FFF2-40B4-BE49-F238E27FC236}">
              <a16:creationId xmlns:a16="http://schemas.microsoft.com/office/drawing/2014/main" id="{0D6F64A8-74A5-4BA9-9FD7-07309C2202F7}"/>
            </a:ext>
          </a:extLst>
        </xdr:cNvPr>
        <xdr:cNvSpPr>
          <a:spLocks noChangeShapeType="1"/>
        </xdr:cNvSpPr>
      </xdr:nvSpPr>
      <xdr:spPr bwMode="auto">
        <a:xfrm flipV="1">
          <a:off x="1821180" y="3695700"/>
          <a:ext cx="624840" cy="8458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22860</xdr:colOff>
      <xdr:row>11</xdr:row>
      <xdr:rowOff>38100</xdr:rowOff>
    </xdr:from>
    <xdr:to>
      <xdr:col>4</xdr:col>
      <xdr:colOff>30480</xdr:colOff>
      <xdr:row>20</xdr:row>
      <xdr:rowOff>7620</xdr:rowOff>
    </xdr:to>
    <xdr:sp macro="" textlink="">
      <xdr:nvSpPr>
        <xdr:cNvPr id="27563" name="Line 6">
          <a:extLst>
            <a:ext uri="{FF2B5EF4-FFF2-40B4-BE49-F238E27FC236}">
              <a16:creationId xmlns:a16="http://schemas.microsoft.com/office/drawing/2014/main" id="{FC1C4725-E381-4C94-A923-8CAAC46AA004}"/>
            </a:ext>
          </a:extLst>
        </xdr:cNvPr>
        <xdr:cNvSpPr>
          <a:spLocks noChangeShapeType="1"/>
        </xdr:cNvSpPr>
      </xdr:nvSpPr>
      <xdr:spPr bwMode="auto">
        <a:xfrm>
          <a:off x="1851660" y="1935480"/>
          <a:ext cx="617220" cy="14782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0</xdr:rowOff>
    </xdr:from>
    <xdr:to>
      <xdr:col>6</xdr:col>
      <xdr:colOff>9525</xdr:colOff>
      <xdr:row>23</xdr:row>
      <xdr:rowOff>9525</xdr:rowOff>
    </xdr:to>
    <xdr:sp macro="" textlink="">
      <xdr:nvSpPr>
        <xdr:cNvPr id="15367" name="Rectangle 7">
          <a:extLst>
            <a:ext uri="{FF2B5EF4-FFF2-40B4-BE49-F238E27FC236}">
              <a16:creationId xmlns:a16="http://schemas.microsoft.com/office/drawing/2014/main" id="{9A8D5517-B548-424F-8FCB-9EA15BE5BBB6}"/>
            </a:ext>
          </a:extLst>
        </xdr:cNvPr>
        <xdr:cNvSpPr>
          <a:spLocks noChangeArrowheads="1"/>
        </xdr:cNvSpPr>
      </xdr:nvSpPr>
      <xdr:spPr bwMode="auto">
        <a:xfrm>
          <a:off x="2447925" y="3305175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В 1.3.1</a:t>
          </a: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3</xdr:col>
      <xdr:colOff>0</xdr:colOff>
      <xdr:row>33</xdr:row>
      <xdr:rowOff>9525</xdr:rowOff>
    </xdr:to>
    <xdr:sp macro="" textlink="">
      <xdr:nvSpPr>
        <xdr:cNvPr id="15368" name="Rectangle 8">
          <a:extLst>
            <a:ext uri="{FF2B5EF4-FFF2-40B4-BE49-F238E27FC236}">
              <a16:creationId xmlns:a16="http://schemas.microsoft.com/office/drawing/2014/main" id="{13E84541-F437-4833-84CC-1079D82871EC}"/>
            </a:ext>
          </a:extLst>
        </xdr:cNvPr>
        <xdr:cNvSpPr>
          <a:spLocks noChangeArrowheads="1"/>
        </xdr:cNvSpPr>
      </xdr:nvSpPr>
      <xdr:spPr bwMode="auto">
        <a:xfrm>
          <a:off x="609600" y="4924425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В 1.2.3</a:t>
          </a:r>
        </a:p>
      </xdr:txBody>
    </xdr:sp>
    <xdr:clientData/>
  </xdr:twoCellAnchor>
  <xdr:twoCellAnchor>
    <xdr:from>
      <xdr:col>3</xdr:col>
      <xdr:colOff>7620</xdr:colOff>
      <xdr:row>23</xdr:row>
      <xdr:rowOff>0</xdr:rowOff>
    </xdr:from>
    <xdr:to>
      <xdr:col>4</xdr:col>
      <xdr:colOff>7620</xdr:colOff>
      <xdr:row>31</xdr:row>
      <xdr:rowOff>121920</xdr:rowOff>
    </xdr:to>
    <xdr:sp macro="" textlink="">
      <xdr:nvSpPr>
        <xdr:cNvPr id="27566" name="Line 9">
          <a:extLst>
            <a:ext uri="{FF2B5EF4-FFF2-40B4-BE49-F238E27FC236}">
              <a16:creationId xmlns:a16="http://schemas.microsoft.com/office/drawing/2014/main" id="{170DDEF7-50AF-40D3-AE9F-F758F86AF52B}"/>
            </a:ext>
          </a:extLst>
        </xdr:cNvPr>
        <xdr:cNvSpPr>
          <a:spLocks noChangeShapeType="1"/>
        </xdr:cNvSpPr>
      </xdr:nvSpPr>
      <xdr:spPr bwMode="auto">
        <a:xfrm flipV="1">
          <a:off x="1836420" y="3909060"/>
          <a:ext cx="609600" cy="14630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21</xdr:row>
      <xdr:rowOff>91440</xdr:rowOff>
    </xdr:from>
    <xdr:to>
      <xdr:col>9</xdr:col>
      <xdr:colOff>0</xdr:colOff>
      <xdr:row>21</xdr:row>
      <xdr:rowOff>91440</xdr:rowOff>
    </xdr:to>
    <xdr:sp macro="" textlink="">
      <xdr:nvSpPr>
        <xdr:cNvPr id="27567" name="Line 11">
          <a:extLst>
            <a:ext uri="{FF2B5EF4-FFF2-40B4-BE49-F238E27FC236}">
              <a16:creationId xmlns:a16="http://schemas.microsoft.com/office/drawing/2014/main" id="{8C6A844F-0744-4E75-93B5-62748CBFB02E}"/>
            </a:ext>
          </a:extLst>
        </xdr:cNvPr>
        <xdr:cNvSpPr>
          <a:spLocks noChangeShapeType="1"/>
        </xdr:cNvSpPr>
      </xdr:nvSpPr>
      <xdr:spPr bwMode="auto">
        <a:xfrm>
          <a:off x="3657600" y="3665220"/>
          <a:ext cx="1828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22860</xdr:colOff>
      <xdr:row>25</xdr:row>
      <xdr:rowOff>7620</xdr:rowOff>
    </xdr:from>
    <xdr:to>
      <xdr:col>12</xdr:col>
      <xdr:colOff>22860</xdr:colOff>
      <xdr:row>29</xdr:row>
      <xdr:rowOff>91440</xdr:rowOff>
    </xdr:to>
    <xdr:sp macro="" textlink="">
      <xdr:nvSpPr>
        <xdr:cNvPr id="27568" name="Line 12">
          <a:extLst>
            <a:ext uri="{FF2B5EF4-FFF2-40B4-BE49-F238E27FC236}">
              <a16:creationId xmlns:a16="http://schemas.microsoft.com/office/drawing/2014/main" id="{27718B74-867F-4840-91E4-6223D8677047}"/>
            </a:ext>
          </a:extLst>
        </xdr:cNvPr>
        <xdr:cNvSpPr>
          <a:spLocks noChangeShapeType="1"/>
        </xdr:cNvSpPr>
      </xdr:nvSpPr>
      <xdr:spPr bwMode="auto">
        <a:xfrm flipH="1">
          <a:off x="7338060" y="4251960"/>
          <a:ext cx="0" cy="754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19050</xdr:colOff>
      <xdr:row>22</xdr:row>
      <xdr:rowOff>0</xdr:rowOff>
    </xdr:from>
    <xdr:to>
      <xdr:col>13</xdr:col>
      <xdr:colOff>19050</xdr:colOff>
      <xdr:row>25</xdr:row>
      <xdr:rowOff>9525</xdr:rowOff>
    </xdr:to>
    <xdr:sp macro="" textlink="">
      <xdr:nvSpPr>
        <xdr:cNvPr id="15373" name="Rectangle 13">
          <a:extLst>
            <a:ext uri="{FF2B5EF4-FFF2-40B4-BE49-F238E27FC236}">
              <a16:creationId xmlns:a16="http://schemas.microsoft.com/office/drawing/2014/main" id="{0EE62EFD-0A78-43BC-8311-E48ABAE709BA}"/>
            </a:ext>
          </a:extLst>
        </xdr:cNvPr>
        <xdr:cNvSpPr>
          <a:spLocks noChangeArrowheads="1"/>
        </xdr:cNvSpPr>
      </xdr:nvSpPr>
      <xdr:spPr bwMode="auto">
        <a:xfrm>
          <a:off x="6724650" y="3629025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Г 1.1.1</a:t>
          </a:r>
        </a:p>
      </xdr:txBody>
    </xdr:sp>
    <xdr:clientData/>
  </xdr:twoCellAnchor>
  <xdr:twoCellAnchor>
    <xdr:from>
      <xdr:col>5</xdr:col>
      <xdr:colOff>47625</xdr:colOff>
      <xdr:row>36</xdr:row>
      <xdr:rowOff>0</xdr:rowOff>
    </xdr:from>
    <xdr:to>
      <xdr:col>6</xdr:col>
      <xdr:colOff>38100</xdr:colOff>
      <xdr:row>38</xdr:row>
      <xdr:rowOff>127695</xdr:rowOff>
    </xdr:to>
    <xdr:sp macro="" textlink="">
      <xdr:nvSpPr>
        <xdr:cNvPr id="15374" name="Rectangle 14">
          <a:extLst>
            <a:ext uri="{FF2B5EF4-FFF2-40B4-BE49-F238E27FC236}">
              <a16:creationId xmlns:a16="http://schemas.microsoft.com/office/drawing/2014/main" id="{F05BA717-8122-4B72-AFA8-0C059644FBAF}"/>
            </a:ext>
          </a:extLst>
        </xdr:cNvPr>
        <xdr:cNvSpPr>
          <a:spLocks noChangeArrowheads="1"/>
        </xdr:cNvSpPr>
      </xdr:nvSpPr>
      <xdr:spPr bwMode="auto">
        <a:xfrm>
          <a:off x="3095625" y="5895975"/>
          <a:ext cx="600075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Д 1.1.1</a:t>
          </a:r>
        </a:p>
      </xdr:txBody>
    </xdr:sp>
    <xdr:clientData/>
  </xdr:twoCellAnchor>
  <xdr:twoCellAnchor>
    <xdr:from>
      <xdr:col>9</xdr:col>
      <xdr:colOff>9525</xdr:colOff>
      <xdr:row>13</xdr:row>
      <xdr:rowOff>121920</xdr:rowOff>
    </xdr:from>
    <xdr:to>
      <xdr:col>10</xdr:col>
      <xdr:colOff>504825</xdr:colOff>
      <xdr:row>29</xdr:row>
      <xdr:rowOff>57161</xdr:rowOff>
    </xdr:to>
    <xdr:sp macro="" textlink="">
      <xdr:nvSpPr>
        <xdr:cNvPr id="15377" name="AutoShape 17">
          <a:extLst>
            <a:ext uri="{FF2B5EF4-FFF2-40B4-BE49-F238E27FC236}">
              <a16:creationId xmlns:a16="http://schemas.microsoft.com/office/drawing/2014/main" id="{CE579D91-EBE7-4768-BAD3-0D699BBD4DD6}"/>
            </a:ext>
          </a:extLst>
        </xdr:cNvPr>
        <xdr:cNvSpPr>
          <a:spLocks noChangeArrowheads="1"/>
        </xdr:cNvSpPr>
      </xdr:nvSpPr>
      <xdr:spPr bwMode="auto">
        <a:xfrm rot="5400000">
          <a:off x="4781550" y="3000375"/>
          <a:ext cx="2533650" cy="11049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Тип проекта?</a:t>
          </a:r>
        </a:p>
      </xdr:txBody>
    </xdr:sp>
    <xdr:clientData/>
  </xdr:twoCellAnchor>
  <xdr:twoCellAnchor>
    <xdr:from>
      <xdr:col>9</xdr:col>
      <xdr:colOff>563880</xdr:colOff>
      <xdr:row>12</xdr:row>
      <xdr:rowOff>7620</xdr:rowOff>
    </xdr:from>
    <xdr:to>
      <xdr:col>10</xdr:col>
      <xdr:colOff>594360</xdr:colOff>
      <xdr:row>12</xdr:row>
      <xdr:rowOff>7620</xdr:rowOff>
    </xdr:to>
    <xdr:sp macro="" textlink="">
      <xdr:nvSpPr>
        <xdr:cNvPr id="27572" name="Line 20">
          <a:extLst>
            <a:ext uri="{FF2B5EF4-FFF2-40B4-BE49-F238E27FC236}">
              <a16:creationId xmlns:a16="http://schemas.microsoft.com/office/drawing/2014/main" id="{E644237A-EBC0-4236-A0F4-25EA87ABD745}"/>
            </a:ext>
          </a:extLst>
        </xdr:cNvPr>
        <xdr:cNvSpPr>
          <a:spLocks noChangeShapeType="1"/>
        </xdr:cNvSpPr>
      </xdr:nvSpPr>
      <xdr:spPr bwMode="auto">
        <a:xfrm flipV="1">
          <a:off x="6050280" y="2072640"/>
          <a:ext cx="640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563880</xdr:colOff>
      <xdr:row>31</xdr:row>
      <xdr:rowOff>0</xdr:rowOff>
    </xdr:from>
    <xdr:to>
      <xdr:col>10</xdr:col>
      <xdr:colOff>601980</xdr:colOff>
      <xdr:row>31</xdr:row>
      <xdr:rowOff>0</xdr:rowOff>
    </xdr:to>
    <xdr:sp macro="" textlink="">
      <xdr:nvSpPr>
        <xdr:cNvPr id="27573" name="Line 21">
          <a:extLst>
            <a:ext uri="{FF2B5EF4-FFF2-40B4-BE49-F238E27FC236}">
              <a16:creationId xmlns:a16="http://schemas.microsoft.com/office/drawing/2014/main" id="{F1918E42-CE13-4D67-81F9-1590BA52964B}"/>
            </a:ext>
          </a:extLst>
        </xdr:cNvPr>
        <xdr:cNvSpPr>
          <a:spLocks noChangeShapeType="1"/>
        </xdr:cNvSpPr>
      </xdr:nvSpPr>
      <xdr:spPr bwMode="auto">
        <a:xfrm>
          <a:off x="6050280" y="5250180"/>
          <a:ext cx="647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10</xdr:row>
      <xdr:rowOff>76200</xdr:rowOff>
    </xdr:from>
    <xdr:to>
      <xdr:col>13</xdr:col>
      <xdr:colOff>19050</xdr:colOff>
      <xdr:row>13</xdr:row>
      <xdr:rowOff>93373</xdr:rowOff>
    </xdr:to>
    <xdr:sp macro="" textlink="">
      <xdr:nvSpPr>
        <xdr:cNvPr id="15382" name="Rectangle 22">
          <a:extLst>
            <a:ext uri="{FF2B5EF4-FFF2-40B4-BE49-F238E27FC236}">
              <a16:creationId xmlns:a16="http://schemas.microsoft.com/office/drawing/2014/main" id="{52948C09-BFF7-47B6-9F98-1C9A29046E87}"/>
            </a:ext>
          </a:extLst>
        </xdr:cNvPr>
        <xdr:cNvSpPr>
          <a:spLocks noChangeArrowheads="1"/>
        </xdr:cNvSpPr>
      </xdr:nvSpPr>
      <xdr:spPr bwMode="auto">
        <a:xfrm>
          <a:off x="6705600" y="1762125"/>
          <a:ext cx="123825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1.1.1</a:t>
          </a:r>
        </a:p>
      </xdr:txBody>
    </xdr:sp>
    <xdr:clientData/>
  </xdr:twoCellAnchor>
  <xdr:twoCellAnchor>
    <xdr:from>
      <xdr:col>9</xdr:col>
      <xdr:colOff>504825</xdr:colOff>
      <xdr:row>10</xdr:row>
      <xdr:rowOff>93345</xdr:rowOff>
    </xdr:from>
    <xdr:to>
      <xdr:col>11</xdr:col>
      <xdr:colOff>66675</xdr:colOff>
      <xdr:row>11</xdr:row>
      <xdr:rowOff>131445</xdr:rowOff>
    </xdr:to>
    <xdr:sp macro="" textlink="">
      <xdr:nvSpPr>
        <xdr:cNvPr id="15383" name="Text Box 23">
          <a:extLst>
            <a:ext uri="{FF2B5EF4-FFF2-40B4-BE49-F238E27FC236}">
              <a16:creationId xmlns:a16="http://schemas.microsoft.com/office/drawing/2014/main" id="{09FDB69D-15DC-4359-AED0-0E9C5B7133E4}"/>
            </a:ext>
          </a:extLst>
        </xdr:cNvPr>
        <xdr:cNvSpPr txBox="1">
          <a:spLocks noChangeArrowheads="1"/>
        </xdr:cNvSpPr>
      </xdr:nvSpPr>
      <xdr:spPr bwMode="auto">
        <a:xfrm>
          <a:off x="5991225" y="1771650"/>
          <a:ext cx="781050" cy="200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тип 1</a:t>
          </a:r>
        </a:p>
      </xdr:txBody>
    </xdr:sp>
    <xdr:clientData/>
  </xdr:twoCellAnchor>
  <xdr:twoCellAnchor>
    <xdr:from>
      <xdr:col>9</xdr:col>
      <xdr:colOff>466725</xdr:colOff>
      <xdr:row>31</xdr:row>
      <xdr:rowOff>66675</xdr:rowOff>
    </xdr:from>
    <xdr:to>
      <xdr:col>11</xdr:col>
      <xdr:colOff>28575</xdr:colOff>
      <xdr:row>32</xdr:row>
      <xdr:rowOff>104775</xdr:rowOff>
    </xdr:to>
    <xdr:sp macro="" textlink="">
      <xdr:nvSpPr>
        <xdr:cNvPr id="15384" name="Text Box 24">
          <a:extLst>
            <a:ext uri="{FF2B5EF4-FFF2-40B4-BE49-F238E27FC236}">
              <a16:creationId xmlns:a16="http://schemas.microsoft.com/office/drawing/2014/main" id="{8A3FE5A5-9716-4A67-8216-A7120F1C8783}"/>
            </a:ext>
          </a:extLst>
        </xdr:cNvPr>
        <xdr:cNvSpPr txBox="1">
          <a:spLocks noChangeArrowheads="1"/>
        </xdr:cNvSpPr>
      </xdr:nvSpPr>
      <xdr:spPr bwMode="auto">
        <a:xfrm>
          <a:off x="5953125" y="5153025"/>
          <a:ext cx="781050" cy="200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тип 2</a:t>
          </a:r>
        </a:p>
      </xdr:txBody>
    </xdr:sp>
    <xdr:clientData/>
  </xdr:twoCellAnchor>
  <xdr:twoCellAnchor>
    <xdr:from>
      <xdr:col>11</xdr:col>
      <xdr:colOff>0</xdr:colOff>
      <xdr:row>29</xdr:row>
      <xdr:rowOff>93345</xdr:rowOff>
    </xdr:from>
    <xdr:to>
      <xdr:col>13</xdr:col>
      <xdr:colOff>19050</xdr:colOff>
      <xdr:row>32</xdr:row>
      <xdr:rowOff>95334</xdr:rowOff>
    </xdr:to>
    <xdr:sp macro="" textlink="">
      <xdr:nvSpPr>
        <xdr:cNvPr id="15385" name="Rectangle 25">
          <a:extLst>
            <a:ext uri="{FF2B5EF4-FFF2-40B4-BE49-F238E27FC236}">
              <a16:creationId xmlns:a16="http://schemas.microsoft.com/office/drawing/2014/main" id="{452B528D-6AFA-4F1D-A155-1205826DF3B2}"/>
            </a:ext>
          </a:extLst>
        </xdr:cNvPr>
        <xdr:cNvSpPr>
          <a:spLocks noChangeArrowheads="1"/>
        </xdr:cNvSpPr>
      </xdr:nvSpPr>
      <xdr:spPr bwMode="auto">
        <a:xfrm>
          <a:off x="6705600" y="4848225"/>
          <a:ext cx="123825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1.1.2</a:t>
          </a:r>
        </a:p>
      </xdr:txBody>
    </xdr:sp>
    <xdr:clientData/>
  </xdr:twoCellAnchor>
  <xdr:twoCellAnchor>
    <xdr:from>
      <xdr:col>13</xdr:col>
      <xdr:colOff>22860</xdr:colOff>
      <xdr:row>12</xdr:row>
      <xdr:rowOff>7620</xdr:rowOff>
    </xdr:from>
    <xdr:to>
      <xdr:col>13</xdr:col>
      <xdr:colOff>601980</xdr:colOff>
      <xdr:row>12</xdr:row>
      <xdr:rowOff>7620</xdr:rowOff>
    </xdr:to>
    <xdr:sp macro="" textlink="">
      <xdr:nvSpPr>
        <xdr:cNvPr id="27578" name="Line 26">
          <a:extLst>
            <a:ext uri="{FF2B5EF4-FFF2-40B4-BE49-F238E27FC236}">
              <a16:creationId xmlns:a16="http://schemas.microsoft.com/office/drawing/2014/main" id="{4FD7D8E1-3E2B-425B-A1A6-AA7E5BF28CB1}"/>
            </a:ext>
          </a:extLst>
        </xdr:cNvPr>
        <xdr:cNvSpPr>
          <a:spLocks noChangeShapeType="1"/>
        </xdr:cNvSpPr>
      </xdr:nvSpPr>
      <xdr:spPr bwMode="auto">
        <a:xfrm>
          <a:off x="7947660" y="207264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0</xdr:colOff>
      <xdr:row>7</xdr:row>
      <xdr:rowOff>28575</xdr:rowOff>
    </xdr:from>
    <xdr:to>
      <xdr:col>15</xdr:col>
      <xdr:colOff>276225</xdr:colOff>
      <xdr:row>16</xdr:row>
      <xdr:rowOff>133350</xdr:rowOff>
    </xdr:to>
    <xdr:sp macro="" textlink="">
      <xdr:nvSpPr>
        <xdr:cNvPr id="15388" name="AutoShape 28">
          <a:extLst>
            <a:ext uri="{FF2B5EF4-FFF2-40B4-BE49-F238E27FC236}">
              <a16:creationId xmlns:a16="http://schemas.microsoft.com/office/drawing/2014/main" id="{75752788-8BB3-46F2-9630-E70C104C1E68}"/>
            </a:ext>
          </a:extLst>
        </xdr:cNvPr>
        <xdr:cNvSpPr>
          <a:spLocks noChangeArrowheads="1"/>
        </xdr:cNvSpPr>
      </xdr:nvSpPr>
      <xdr:spPr bwMode="auto">
        <a:xfrm rot="5400000">
          <a:off x="8196263" y="1566862"/>
          <a:ext cx="1562100" cy="88582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ЧДП**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 года &gt; 0</a:t>
          </a:r>
        </a:p>
      </xdr:txBody>
    </xdr:sp>
    <xdr:clientData/>
  </xdr:twoCellAnchor>
  <xdr:twoCellAnchor>
    <xdr:from>
      <xdr:col>14</xdr:col>
      <xdr:colOff>441960</xdr:colOff>
      <xdr:row>5</xdr:row>
      <xdr:rowOff>160020</xdr:rowOff>
    </xdr:from>
    <xdr:to>
      <xdr:col>14</xdr:col>
      <xdr:colOff>441960</xdr:colOff>
      <xdr:row>7</xdr:row>
      <xdr:rowOff>45720</xdr:rowOff>
    </xdr:to>
    <xdr:sp macro="" textlink="">
      <xdr:nvSpPr>
        <xdr:cNvPr id="27580" name="Line 29">
          <a:extLst>
            <a:ext uri="{FF2B5EF4-FFF2-40B4-BE49-F238E27FC236}">
              <a16:creationId xmlns:a16="http://schemas.microsoft.com/office/drawing/2014/main" id="{4A3BED1A-EA0D-4C25-9FF0-0B37FBADC5CC}"/>
            </a:ext>
          </a:extLst>
        </xdr:cNvPr>
        <xdr:cNvSpPr>
          <a:spLocks noChangeShapeType="1"/>
        </xdr:cNvSpPr>
      </xdr:nvSpPr>
      <xdr:spPr bwMode="auto">
        <a:xfrm flipV="1">
          <a:off x="8976360" y="1051560"/>
          <a:ext cx="0" cy="2209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426720</xdr:colOff>
      <xdr:row>6</xdr:row>
      <xdr:rowOff>0</xdr:rowOff>
    </xdr:from>
    <xdr:to>
      <xdr:col>15</xdr:col>
      <xdr:colOff>594360</xdr:colOff>
      <xdr:row>6</xdr:row>
      <xdr:rowOff>0</xdr:rowOff>
    </xdr:to>
    <xdr:sp macro="" textlink="">
      <xdr:nvSpPr>
        <xdr:cNvPr id="27581" name="Line 30">
          <a:extLst>
            <a:ext uri="{FF2B5EF4-FFF2-40B4-BE49-F238E27FC236}">
              <a16:creationId xmlns:a16="http://schemas.microsoft.com/office/drawing/2014/main" id="{E8095849-D66D-4B08-A974-2A1ECC1E8B8E}"/>
            </a:ext>
          </a:extLst>
        </xdr:cNvPr>
        <xdr:cNvSpPr>
          <a:spLocks noChangeShapeType="1"/>
        </xdr:cNvSpPr>
      </xdr:nvSpPr>
      <xdr:spPr bwMode="auto">
        <a:xfrm>
          <a:off x="8961120" y="1059180"/>
          <a:ext cx="7772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600075</xdr:colOff>
      <xdr:row>4</xdr:row>
      <xdr:rowOff>66675</xdr:rowOff>
    </xdr:from>
    <xdr:to>
      <xdr:col>18</xdr:col>
      <xdr:colOff>9525</xdr:colOff>
      <xdr:row>7</xdr:row>
      <xdr:rowOff>76200</xdr:rowOff>
    </xdr:to>
    <xdr:sp macro="" textlink="">
      <xdr:nvSpPr>
        <xdr:cNvPr id="15391" name="Rectangle 31">
          <a:extLst>
            <a:ext uri="{FF2B5EF4-FFF2-40B4-BE49-F238E27FC236}">
              <a16:creationId xmlns:a16="http://schemas.microsoft.com/office/drawing/2014/main" id="{C2BE8788-2B65-4F8A-9104-4AA855D5F7AF}"/>
            </a:ext>
          </a:extLst>
        </xdr:cNvPr>
        <xdr:cNvSpPr>
          <a:spLocks noChangeArrowheads="1"/>
        </xdr:cNvSpPr>
      </xdr:nvSpPr>
      <xdr:spPr bwMode="auto">
        <a:xfrm>
          <a:off x="9744075" y="781050"/>
          <a:ext cx="123825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Е 1.3.3</a:t>
          </a:r>
        </a:p>
      </xdr:txBody>
    </xdr:sp>
    <xdr:clientData/>
  </xdr:twoCellAnchor>
  <xdr:twoCellAnchor>
    <xdr:from>
      <xdr:col>14</xdr:col>
      <xdr:colOff>409575</xdr:colOff>
      <xdr:row>4</xdr:row>
      <xdr:rowOff>95250</xdr:rowOff>
    </xdr:from>
    <xdr:to>
      <xdr:col>15</xdr:col>
      <xdr:colOff>581025</xdr:colOff>
      <xdr:row>5</xdr:row>
      <xdr:rowOff>133350</xdr:rowOff>
    </xdr:to>
    <xdr:sp macro="" textlink="">
      <xdr:nvSpPr>
        <xdr:cNvPr id="15392" name="Text Box 32">
          <a:extLst>
            <a:ext uri="{FF2B5EF4-FFF2-40B4-BE49-F238E27FC236}">
              <a16:creationId xmlns:a16="http://schemas.microsoft.com/office/drawing/2014/main" id="{9854B2F5-80EC-4FCA-A413-B5BCBE66C2CF}"/>
            </a:ext>
          </a:extLst>
        </xdr:cNvPr>
        <xdr:cNvSpPr txBox="1">
          <a:spLocks noChangeArrowheads="1"/>
        </xdr:cNvSpPr>
      </xdr:nvSpPr>
      <xdr:spPr bwMode="auto">
        <a:xfrm>
          <a:off x="8943975" y="809625"/>
          <a:ext cx="781050" cy="200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да</a:t>
          </a:r>
        </a:p>
      </xdr:txBody>
    </xdr:sp>
    <xdr:clientData/>
  </xdr:twoCellAnchor>
  <xdr:twoCellAnchor>
    <xdr:from>
      <xdr:col>14</xdr:col>
      <xdr:colOff>449580</xdr:colOff>
      <xdr:row>16</xdr:row>
      <xdr:rowOff>144780</xdr:rowOff>
    </xdr:from>
    <xdr:to>
      <xdr:col>14</xdr:col>
      <xdr:colOff>449580</xdr:colOff>
      <xdr:row>18</xdr:row>
      <xdr:rowOff>99060</xdr:rowOff>
    </xdr:to>
    <xdr:sp macro="" textlink="">
      <xdr:nvSpPr>
        <xdr:cNvPr id="27584" name="Line 34">
          <a:extLst>
            <a:ext uri="{FF2B5EF4-FFF2-40B4-BE49-F238E27FC236}">
              <a16:creationId xmlns:a16="http://schemas.microsoft.com/office/drawing/2014/main" id="{E2A855A4-EE33-472A-A8F2-A3A2EA079CBB}"/>
            </a:ext>
          </a:extLst>
        </xdr:cNvPr>
        <xdr:cNvSpPr>
          <a:spLocks noChangeShapeType="1"/>
        </xdr:cNvSpPr>
      </xdr:nvSpPr>
      <xdr:spPr bwMode="auto">
        <a:xfrm>
          <a:off x="8983980" y="288036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449580</xdr:colOff>
      <xdr:row>18</xdr:row>
      <xdr:rowOff>91440</xdr:rowOff>
    </xdr:from>
    <xdr:to>
      <xdr:col>16</xdr:col>
      <xdr:colOff>0</xdr:colOff>
      <xdr:row>18</xdr:row>
      <xdr:rowOff>91440</xdr:rowOff>
    </xdr:to>
    <xdr:sp macro="" textlink="">
      <xdr:nvSpPr>
        <xdr:cNvPr id="27585" name="Line 35">
          <a:extLst>
            <a:ext uri="{FF2B5EF4-FFF2-40B4-BE49-F238E27FC236}">
              <a16:creationId xmlns:a16="http://schemas.microsoft.com/office/drawing/2014/main" id="{3CC86879-E25F-4866-8ED4-70A7591133E5}"/>
            </a:ext>
          </a:extLst>
        </xdr:cNvPr>
        <xdr:cNvSpPr>
          <a:spLocks noChangeShapeType="1"/>
        </xdr:cNvSpPr>
      </xdr:nvSpPr>
      <xdr:spPr bwMode="auto">
        <a:xfrm flipV="1">
          <a:off x="8983980" y="3162300"/>
          <a:ext cx="769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428625</xdr:colOff>
      <xdr:row>18</xdr:row>
      <xdr:rowOff>142875</xdr:rowOff>
    </xdr:from>
    <xdr:to>
      <xdr:col>15</xdr:col>
      <xdr:colOff>600075</xdr:colOff>
      <xdr:row>20</xdr:row>
      <xdr:rowOff>19050</xdr:rowOff>
    </xdr:to>
    <xdr:sp macro="" textlink="">
      <xdr:nvSpPr>
        <xdr:cNvPr id="15396" name="Text Box 36">
          <a:extLst>
            <a:ext uri="{FF2B5EF4-FFF2-40B4-BE49-F238E27FC236}">
              <a16:creationId xmlns:a16="http://schemas.microsoft.com/office/drawing/2014/main" id="{53FFD0E3-151F-4110-AB2F-D144AF09B9E8}"/>
            </a:ext>
          </a:extLst>
        </xdr:cNvPr>
        <xdr:cNvSpPr txBox="1">
          <a:spLocks noChangeArrowheads="1"/>
        </xdr:cNvSpPr>
      </xdr:nvSpPr>
      <xdr:spPr bwMode="auto">
        <a:xfrm>
          <a:off x="8963025" y="3124200"/>
          <a:ext cx="781050" cy="200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нет</a:t>
          </a:r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18</xdr:col>
      <xdr:colOff>0</xdr:colOff>
      <xdr:row>20</xdr:row>
      <xdr:rowOff>9525</xdr:rowOff>
    </xdr:to>
    <xdr:sp macro="" textlink="">
      <xdr:nvSpPr>
        <xdr:cNvPr id="15397" name="Rectangle 37">
          <a:extLst>
            <a:ext uri="{FF2B5EF4-FFF2-40B4-BE49-F238E27FC236}">
              <a16:creationId xmlns:a16="http://schemas.microsoft.com/office/drawing/2014/main" id="{C1D5FB0A-9516-4CD8-A48F-CB4FDD862010}"/>
            </a:ext>
          </a:extLst>
        </xdr:cNvPr>
        <xdr:cNvSpPr>
          <a:spLocks noChangeArrowheads="1"/>
        </xdr:cNvSpPr>
      </xdr:nvSpPr>
      <xdr:spPr bwMode="auto">
        <a:xfrm>
          <a:off x="9753600" y="2819400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1.3.1</a:t>
          </a:r>
        </a:p>
      </xdr:txBody>
    </xdr:sp>
    <xdr:clientData/>
  </xdr:twoCellAnchor>
  <xdr:twoCellAnchor>
    <xdr:from>
      <xdr:col>6</xdr:col>
      <xdr:colOff>523875</xdr:colOff>
      <xdr:row>35</xdr:row>
      <xdr:rowOff>142875</xdr:rowOff>
    </xdr:from>
    <xdr:to>
      <xdr:col>7</xdr:col>
      <xdr:colOff>523875</xdr:colOff>
      <xdr:row>38</xdr:row>
      <xdr:rowOff>127635</xdr:rowOff>
    </xdr:to>
    <xdr:sp macro="" textlink="">
      <xdr:nvSpPr>
        <xdr:cNvPr id="15401" name="Rectangle 41">
          <a:extLst>
            <a:ext uri="{FF2B5EF4-FFF2-40B4-BE49-F238E27FC236}">
              <a16:creationId xmlns:a16="http://schemas.microsoft.com/office/drawing/2014/main" id="{E0786D07-9CEA-450E-AD1D-6A4C1C5F1BC7}"/>
            </a:ext>
          </a:extLst>
        </xdr:cNvPr>
        <xdr:cNvSpPr>
          <a:spLocks noChangeArrowheads="1"/>
        </xdr:cNvSpPr>
      </xdr:nvSpPr>
      <xdr:spPr bwMode="auto">
        <a:xfrm>
          <a:off x="4181475" y="5876925"/>
          <a:ext cx="60960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1.2.1</a:t>
          </a:r>
        </a:p>
      </xdr:txBody>
    </xdr:sp>
    <xdr:clientData/>
  </xdr:twoCellAnchor>
  <xdr:twoCellAnchor>
    <xdr:from>
      <xdr:col>9</xdr:col>
      <xdr:colOff>350520</xdr:colOff>
      <xdr:row>37</xdr:row>
      <xdr:rowOff>68580</xdr:rowOff>
    </xdr:from>
    <xdr:to>
      <xdr:col>10</xdr:col>
      <xdr:colOff>228600</xdr:colOff>
      <xdr:row>37</xdr:row>
      <xdr:rowOff>68580</xdr:rowOff>
    </xdr:to>
    <xdr:sp macro="" textlink="">
      <xdr:nvSpPr>
        <xdr:cNvPr id="27589" name="Line 42">
          <a:extLst>
            <a:ext uri="{FF2B5EF4-FFF2-40B4-BE49-F238E27FC236}">
              <a16:creationId xmlns:a16="http://schemas.microsoft.com/office/drawing/2014/main" id="{2DE2DBC7-F8BC-46BA-BD83-F28BEA28BA9C}"/>
            </a:ext>
          </a:extLst>
        </xdr:cNvPr>
        <xdr:cNvSpPr>
          <a:spLocks noChangeShapeType="1"/>
        </xdr:cNvSpPr>
      </xdr:nvSpPr>
      <xdr:spPr bwMode="auto">
        <a:xfrm>
          <a:off x="5836920" y="6332220"/>
          <a:ext cx="4876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426720</xdr:colOff>
      <xdr:row>25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27590" name="Line 44">
          <a:extLst>
            <a:ext uri="{FF2B5EF4-FFF2-40B4-BE49-F238E27FC236}">
              <a16:creationId xmlns:a16="http://schemas.microsoft.com/office/drawing/2014/main" id="{CD9A236B-F85B-4BA5-9FA5-99882867856C}"/>
            </a:ext>
          </a:extLst>
        </xdr:cNvPr>
        <xdr:cNvSpPr>
          <a:spLocks noChangeShapeType="1"/>
        </xdr:cNvSpPr>
      </xdr:nvSpPr>
      <xdr:spPr bwMode="auto">
        <a:xfrm>
          <a:off x="8961120" y="4244340"/>
          <a:ext cx="7924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23</xdr:row>
      <xdr:rowOff>66675</xdr:rowOff>
    </xdr:from>
    <xdr:to>
      <xdr:col>17</xdr:col>
      <xdr:colOff>600075</xdr:colOff>
      <xdr:row>26</xdr:row>
      <xdr:rowOff>76200</xdr:rowOff>
    </xdr:to>
    <xdr:sp macro="" textlink="">
      <xdr:nvSpPr>
        <xdr:cNvPr id="15405" name="Rectangle 45">
          <a:extLst>
            <a:ext uri="{FF2B5EF4-FFF2-40B4-BE49-F238E27FC236}">
              <a16:creationId xmlns:a16="http://schemas.microsoft.com/office/drawing/2014/main" id="{DEFF52F2-6E4B-4F11-955B-A83F49C21E36}"/>
            </a:ext>
          </a:extLst>
        </xdr:cNvPr>
        <xdr:cNvSpPr>
          <a:spLocks noChangeArrowheads="1"/>
        </xdr:cNvSpPr>
      </xdr:nvSpPr>
      <xdr:spPr bwMode="auto">
        <a:xfrm>
          <a:off x="9753600" y="3857625"/>
          <a:ext cx="1209675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Е 1.3.4</a:t>
          </a:r>
        </a:p>
      </xdr:txBody>
    </xdr:sp>
    <xdr:clientData/>
  </xdr:twoCellAnchor>
  <xdr:twoCellAnchor>
    <xdr:from>
      <xdr:col>14</xdr:col>
      <xdr:colOff>409575</xdr:colOff>
      <xdr:row>23</xdr:row>
      <xdr:rowOff>76200</xdr:rowOff>
    </xdr:from>
    <xdr:to>
      <xdr:col>15</xdr:col>
      <xdr:colOff>581025</xdr:colOff>
      <xdr:row>24</xdr:row>
      <xdr:rowOff>121920</xdr:rowOff>
    </xdr:to>
    <xdr:sp macro="" textlink="">
      <xdr:nvSpPr>
        <xdr:cNvPr id="15406" name="Text Box 46">
          <a:extLst>
            <a:ext uri="{FF2B5EF4-FFF2-40B4-BE49-F238E27FC236}">
              <a16:creationId xmlns:a16="http://schemas.microsoft.com/office/drawing/2014/main" id="{255E6790-801F-40C4-A5D2-B9D7E2E8144A}"/>
            </a:ext>
          </a:extLst>
        </xdr:cNvPr>
        <xdr:cNvSpPr txBox="1">
          <a:spLocks noChangeArrowheads="1"/>
        </xdr:cNvSpPr>
      </xdr:nvSpPr>
      <xdr:spPr bwMode="auto">
        <a:xfrm>
          <a:off x="8943975" y="3867150"/>
          <a:ext cx="781050" cy="200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да</a:t>
          </a:r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19</xdr:col>
      <xdr:colOff>7620</xdr:colOff>
      <xdr:row>25</xdr:row>
      <xdr:rowOff>0</xdr:rowOff>
    </xdr:to>
    <xdr:sp macro="" textlink="">
      <xdr:nvSpPr>
        <xdr:cNvPr id="27593" name="Line 47">
          <a:extLst>
            <a:ext uri="{FF2B5EF4-FFF2-40B4-BE49-F238E27FC236}">
              <a16:creationId xmlns:a16="http://schemas.microsoft.com/office/drawing/2014/main" id="{F8A03AEE-C4DB-46E8-93CF-9174BE1B4096}"/>
            </a:ext>
          </a:extLst>
        </xdr:cNvPr>
        <xdr:cNvSpPr>
          <a:spLocks noChangeShapeType="1"/>
        </xdr:cNvSpPr>
      </xdr:nvSpPr>
      <xdr:spPr bwMode="auto">
        <a:xfrm>
          <a:off x="10972800" y="4244340"/>
          <a:ext cx="6172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449580</xdr:colOff>
      <xdr:row>37</xdr:row>
      <xdr:rowOff>76200</xdr:rowOff>
    </xdr:from>
    <xdr:to>
      <xdr:col>15</xdr:col>
      <xdr:colOff>601980</xdr:colOff>
      <xdr:row>37</xdr:row>
      <xdr:rowOff>76200</xdr:rowOff>
    </xdr:to>
    <xdr:sp macro="" textlink="">
      <xdr:nvSpPr>
        <xdr:cNvPr id="27594" name="Line 49">
          <a:extLst>
            <a:ext uri="{FF2B5EF4-FFF2-40B4-BE49-F238E27FC236}">
              <a16:creationId xmlns:a16="http://schemas.microsoft.com/office/drawing/2014/main" id="{63BA0674-1E51-48A2-A686-E4D3BE2EA542}"/>
            </a:ext>
          </a:extLst>
        </xdr:cNvPr>
        <xdr:cNvSpPr>
          <a:spLocks noChangeShapeType="1"/>
        </xdr:cNvSpPr>
      </xdr:nvSpPr>
      <xdr:spPr bwMode="auto">
        <a:xfrm flipV="1">
          <a:off x="8983980" y="6339840"/>
          <a:ext cx="762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428625</xdr:colOff>
      <xdr:row>37</xdr:row>
      <xdr:rowOff>133350</xdr:rowOff>
    </xdr:from>
    <xdr:to>
      <xdr:col>15</xdr:col>
      <xdr:colOff>600075</xdr:colOff>
      <xdr:row>39</xdr:row>
      <xdr:rowOff>9525</xdr:rowOff>
    </xdr:to>
    <xdr:sp macro="" textlink="">
      <xdr:nvSpPr>
        <xdr:cNvPr id="15410" name="Text Box 50">
          <a:extLst>
            <a:ext uri="{FF2B5EF4-FFF2-40B4-BE49-F238E27FC236}">
              <a16:creationId xmlns:a16="http://schemas.microsoft.com/office/drawing/2014/main" id="{E2800C60-2A07-4527-848C-3AA773681DCE}"/>
            </a:ext>
          </a:extLst>
        </xdr:cNvPr>
        <xdr:cNvSpPr txBox="1">
          <a:spLocks noChangeArrowheads="1"/>
        </xdr:cNvSpPr>
      </xdr:nvSpPr>
      <xdr:spPr bwMode="auto">
        <a:xfrm>
          <a:off x="8963025" y="6219825"/>
          <a:ext cx="781050" cy="2286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нет</a:t>
          </a:r>
        </a:p>
      </xdr:txBody>
    </xdr:sp>
    <xdr:clientData/>
  </xdr:twoCellAnchor>
  <xdr:twoCellAnchor>
    <xdr:from>
      <xdr:col>16</xdr:col>
      <xdr:colOff>0</xdr:colOff>
      <xdr:row>36</xdr:row>
      <xdr:rowOff>9525</xdr:rowOff>
    </xdr:from>
    <xdr:to>
      <xdr:col>18</xdr:col>
      <xdr:colOff>19050</xdr:colOff>
      <xdr:row>39</xdr:row>
      <xdr:rowOff>19050</xdr:rowOff>
    </xdr:to>
    <xdr:sp macro="" textlink="">
      <xdr:nvSpPr>
        <xdr:cNvPr id="15411" name="Rectangle 51">
          <a:extLst>
            <a:ext uri="{FF2B5EF4-FFF2-40B4-BE49-F238E27FC236}">
              <a16:creationId xmlns:a16="http://schemas.microsoft.com/office/drawing/2014/main" id="{158155B4-B1F9-45E4-A87C-0BB961E124B3}"/>
            </a:ext>
          </a:extLst>
        </xdr:cNvPr>
        <xdr:cNvSpPr>
          <a:spLocks noChangeArrowheads="1"/>
        </xdr:cNvSpPr>
      </xdr:nvSpPr>
      <xdr:spPr bwMode="auto">
        <a:xfrm>
          <a:off x="9753600" y="5905500"/>
          <a:ext cx="123825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1.3.2</a:t>
          </a:r>
        </a:p>
      </xdr:txBody>
    </xdr:sp>
    <xdr:clientData/>
  </xdr:twoCellAnchor>
  <xdr:twoCellAnchor>
    <xdr:from>
      <xdr:col>18</xdr:col>
      <xdr:colOff>22860</xdr:colOff>
      <xdr:row>37</xdr:row>
      <xdr:rowOff>121920</xdr:rowOff>
    </xdr:from>
    <xdr:to>
      <xdr:col>19</xdr:col>
      <xdr:colOff>0</xdr:colOff>
      <xdr:row>37</xdr:row>
      <xdr:rowOff>121920</xdr:rowOff>
    </xdr:to>
    <xdr:sp macro="" textlink="">
      <xdr:nvSpPr>
        <xdr:cNvPr id="27597" name="Line 52">
          <a:extLst>
            <a:ext uri="{FF2B5EF4-FFF2-40B4-BE49-F238E27FC236}">
              <a16:creationId xmlns:a16="http://schemas.microsoft.com/office/drawing/2014/main" id="{C87CFD2D-CD8E-454C-8E59-F6D292DBF120}"/>
            </a:ext>
          </a:extLst>
        </xdr:cNvPr>
        <xdr:cNvSpPr>
          <a:spLocks noChangeShapeType="1"/>
        </xdr:cNvSpPr>
      </xdr:nvSpPr>
      <xdr:spPr bwMode="auto">
        <a:xfrm>
          <a:off x="10995660" y="6385560"/>
          <a:ext cx="586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38100</xdr:colOff>
      <xdr:row>31</xdr:row>
      <xdr:rowOff>22860</xdr:rowOff>
    </xdr:from>
    <xdr:to>
      <xdr:col>14</xdr:col>
      <xdr:colOff>7620</xdr:colOff>
      <xdr:row>31</xdr:row>
      <xdr:rowOff>22860</xdr:rowOff>
    </xdr:to>
    <xdr:sp macro="" textlink="">
      <xdr:nvSpPr>
        <xdr:cNvPr id="27598" name="Line 53">
          <a:extLst>
            <a:ext uri="{FF2B5EF4-FFF2-40B4-BE49-F238E27FC236}">
              <a16:creationId xmlns:a16="http://schemas.microsoft.com/office/drawing/2014/main" id="{E6356D4C-A38A-4639-B5F7-5D3D4B7E7D6A}"/>
            </a:ext>
          </a:extLst>
        </xdr:cNvPr>
        <xdr:cNvSpPr>
          <a:spLocks noChangeShapeType="1"/>
        </xdr:cNvSpPr>
      </xdr:nvSpPr>
      <xdr:spPr bwMode="auto">
        <a:xfrm>
          <a:off x="7962900" y="527304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0</xdr:colOff>
      <xdr:row>26</xdr:row>
      <xdr:rowOff>38100</xdr:rowOff>
    </xdr:from>
    <xdr:to>
      <xdr:col>15</xdr:col>
      <xdr:colOff>276225</xdr:colOff>
      <xdr:row>35</xdr:row>
      <xdr:rowOff>142875</xdr:rowOff>
    </xdr:to>
    <xdr:sp macro="" textlink="">
      <xdr:nvSpPr>
        <xdr:cNvPr id="15414" name="AutoShape 54">
          <a:extLst>
            <a:ext uri="{FF2B5EF4-FFF2-40B4-BE49-F238E27FC236}">
              <a16:creationId xmlns:a16="http://schemas.microsoft.com/office/drawing/2014/main" id="{2BADB423-306C-43C8-890E-848C01B534E0}"/>
            </a:ext>
          </a:extLst>
        </xdr:cNvPr>
        <xdr:cNvSpPr>
          <a:spLocks noChangeArrowheads="1"/>
        </xdr:cNvSpPr>
      </xdr:nvSpPr>
      <xdr:spPr bwMode="auto">
        <a:xfrm rot="5400000">
          <a:off x="8196263" y="4652962"/>
          <a:ext cx="1562100" cy="88582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ЧДП**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 года &gt; 0</a:t>
          </a:r>
        </a:p>
      </xdr:txBody>
    </xdr:sp>
    <xdr:clientData/>
  </xdr:twoCellAnchor>
  <xdr:twoCellAnchor>
    <xdr:from>
      <xdr:col>18</xdr:col>
      <xdr:colOff>7620</xdr:colOff>
      <xdr:row>6</xdr:row>
      <xdr:rowOff>0</xdr:rowOff>
    </xdr:from>
    <xdr:to>
      <xdr:col>19</xdr:col>
      <xdr:colOff>7620</xdr:colOff>
      <xdr:row>6</xdr:row>
      <xdr:rowOff>0</xdr:rowOff>
    </xdr:to>
    <xdr:sp macro="" textlink="">
      <xdr:nvSpPr>
        <xdr:cNvPr id="27600" name="Line 57">
          <a:extLst>
            <a:ext uri="{FF2B5EF4-FFF2-40B4-BE49-F238E27FC236}">
              <a16:creationId xmlns:a16="http://schemas.microsoft.com/office/drawing/2014/main" id="{19E5598C-70DA-42D3-A218-92BDCA4B7685}"/>
            </a:ext>
          </a:extLst>
        </xdr:cNvPr>
        <xdr:cNvSpPr>
          <a:spLocks noChangeShapeType="1"/>
        </xdr:cNvSpPr>
      </xdr:nvSpPr>
      <xdr:spPr bwMode="auto">
        <a:xfrm>
          <a:off x="10980420" y="1059180"/>
          <a:ext cx="609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0</xdr:colOff>
      <xdr:row>4</xdr:row>
      <xdr:rowOff>76200</xdr:rowOff>
    </xdr:from>
    <xdr:to>
      <xdr:col>21</xdr:col>
      <xdr:colOff>0</xdr:colOff>
      <xdr:row>7</xdr:row>
      <xdr:rowOff>76200</xdr:rowOff>
    </xdr:to>
    <xdr:sp macro="" textlink="">
      <xdr:nvSpPr>
        <xdr:cNvPr id="15418" name="Rectangle 58">
          <a:extLst>
            <a:ext uri="{FF2B5EF4-FFF2-40B4-BE49-F238E27FC236}">
              <a16:creationId xmlns:a16="http://schemas.microsoft.com/office/drawing/2014/main" id="{BE37905A-440F-4720-B748-2679A5B41C6E}"/>
            </a:ext>
          </a:extLst>
        </xdr:cNvPr>
        <xdr:cNvSpPr>
          <a:spLocks noChangeArrowheads="1"/>
        </xdr:cNvSpPr>
      </xdr:nvSpPr>
      <xdr:spPr bwMode="auto">
        <a:xfrm>
          <a:off x="11582400" y="790575"/>
          <a:ext cx="1219200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1.4.3</a:t>
          </a:r>
        </a:p>
      </xdr:txBody>
    </xdr:sp>
    <xdr:clientData/>
  </xdr:twoCellAnchor>
  <xdr:twoCellAnchor>
    <xdr:from>
      <xdr:col>18</xdr:col>
      <xdr:colOff>7620</xdr:colOff>
      <xdr:row>18</xdr:row>
      <xdr:rowOff>91440</xdr:rowOff>
    </xdr:from>
    <xdr:to>
      <xdr:col>18</xdr:col>
      <xdr:colOff>601980</xdr:colOff>
      <xdr:row>18</xdr:row>
      <xdr:rowOff>91440</xdr:rowOff>
    </xdr:to>
    <xdr:sp macro="" textlink="">
      <xdr:nvSpPr>
        <xdr:cNvPr id="27602" name="Line 60">
          <a:extLst>
            <a:ext uri="{FF2B5EF4-FFF2-40B4-BE49-F238E27FC236}">
              <a16:creationId xmlns:a16="http://schemas.microsoft.com/office/drawing/2014/main" id="{4AB64769-7C12-4D8B-AC23-23411F1415D2}"/>
            </a:ext>
          </a:extLst>
        </xdr:cNvPr>
        <xdr:cNvSpPr>
          <a:spLocks noChangeShapeType="1"/>
        </xdr:cNvSpPr>
      </xdr:nvSpPr>
      <xdr:spPr bwMode="auto">
        <a:xfrm>
          <a:off x="10980420" y="3162300"/>
          <a:ext cx="594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0</xdr:colOff>
      <xdr:row>17</xdr:row>
      <xdr:rowOff>9525</xdr:rowOff>
    </xdr:from>
    <xdr:to>
      <xdr:col>20</xdr:col>
      <xdr:colOff>600075</xdr:colOff>
      <xdr:row>20</xdr:row>
      <xdr:rowOff>0</xdr:rowOff>
    </xdr:to>
    <xdr:sp macro="" textlink="">
      <xdr:nvSpPr>
        <xdr:cNvPr id="15421" name="Rectangle 61">
          <a:extLst>
            <a:ext uri="{FF2B5EF4-FFF2-40B4-BE49-F238E27FC236}">
              <a16:creationId xmlns:a16="http://schemas.microsoft.com/office/drawing/2014/main" id="{531739AE-D8A4-4949-80A2-C60106C2FA58}"/>
            </a:ext>
          </a:extLst>
        </xdr:cNvPr>
        <xdr:cNvSpPr>
          <a:spLocks noChangeArrowheads="1"/>
        </xdr:cNvSpPr>
      </xdr:nvSpPr>
      <xdr:spPr bwMode="auto">
        <a:xfrm>
          <a:off x="11582400" y="2828925"/>
          <a:ext cx="1209675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Е 1.4.1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9525</xdr:colOff>
      <xdr:row>23</xdr:row>
      <xdr:rowOff>66675</xdr:rowOff>
    </xdr:from>
    <xdr:to>
      <xdr:col>21</xdr:col>
      <xdr:colOff>9525</xdr:colOff>
      <xdr:row>26</xdr:row>
      <xdr:rowOff>76200</xdr:rowOff>
    </xdr:to>
    <xdr:sp macro="" textlink="">
      <xdr:nvSpPr>
        <xdr:cNvPr id="15422" name="Rectangle 62">
          <a:extLst>
            <a:ext uri="{FF2B5EF4-FFF2-40B4-BE49-F238E27FC236}">
              <a16:creationId xmlns:a16="http://schemas.microsoft.com/office/drawing/2014/main" id="{CF42A652-98EA-4A92-9BE6-97B3361FF71D}"/>
            </a:ext>
          </a:extLst>
        </xdr:cNvPr>
        <xdr:cNvSpPr>
          <a:spLocks noChangeArrowheads="1"/>
        </xdr:cNvSpPr>
      </xdr:nvSpPr>
      <xdr:spPr bwMode="auto">
        <a:xfrm>
          <a:off x="11591925" y="3857625"/>
          <a:ext cx="12192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Е 1.4.4</a:t>
          </a:r>
        </a:p>
      </xdr:txBody>
    </xdr:sp>
    <xdr:clientData/>
  </xdr:twoCellAnchor>
  <xdr:twoCellAnchor>
    <xdr:from>
      <xdr:col>19</xdr:col>
      <xdr:colOff>0</xdr:colOff>
      <xdr:row>36</xdr:row>
      <xdr:rowOff>9525</xdr:rowOff>
    </xdr:from>
    <xdr:to>
      <xdr:col>21</xdr:col>
      <xdr:colOff>0</xdr:colOff>
      <xdr:row>39</xdr:row>
      <xdr:rowOff>19050</xdr:rowOff>
    </xdr:to>
    <xdr:sp macro="" textlink="">
      <xdr:nvSpPr>
        <xdr:cNvPr id="15423" name="Rectangle 63">
          <a:extLst>
            <a:ext uri="{FF2B5EF4-FFF2-40B4-BE49-F238E27FC236}">
              <a16:creationId xmlns:a16="http://schemas.microsoft.com/office/drawing/2014/main" id="{BAD7C8CD-3B51-49D6-91D2-04C6F03E8DCF}"/>
            </a:ext>
          </a:extLst>
        </xdr:cNvPr>
        <xdr:cNvSpPr>
          <a:spLocks noChangeArrowheads="1"/>
        </xdr:cNvSpPr>
      </xdr:nvSpPr>
      <xdr:spPr bwMode="auto">
        <a:xfrm>
          <a:off x="11582400" y="5905500"/>
          <a:ext cx="121920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1.4.2</a:t>
          </a:r>
        </a:p>
      </xdr:txBody>
    </xdr:sp>
    <xdr:clientData/>
  </xdr:twoCellAnchor>
  <xdr:twoCellAnchor>
    <xdr:from>
      <xdr:col>8</xdr:col>
      <xdr:colOff>371475</xdr:colOff>
      <xdr:row>35</xdr:row>
      <xdr:rowOff>160020</xdr:rowOff>
    </xdr:from>
    <xdr:to>
      <xdr:col>9</xdr:col>
      <xdr:colOff>371475</xdr:colOff>
      <xdr:row>38</xdr:row>
      <xdr:rowOff>127722</xdr:rowOff>
    </xdr:to>
    <xdr:sp macro="" textlink="">
      <xdr:nvSpPr>
        <xdr:cNvPr id="15425" name="Rectangle 65">
          <a:extLst>
            <a:ext uri="{FF2B5EF4-FFF2-40B4-BE49-F238E27FC236}">
              <a16:creationId xmlns:a16="http://schemas.microsoft.com/office/drawing/2014/main" id="{D951E38D-27E3-44FC-8404-DAF8F0505C85}"/>
            </a:ext>
          </a:extLst>
        </xdr:cNvPr>
        <xdr:cNvSpPr>
          <a:spLocks noChangeArrowheads="1"/>
        </xdr:cNvSpPr>
      </xdr:nvSpPr>
      <xdr:spPr bwMode="auto">
        <a:xfrm>
          <a:off x="5248275" y="5886450"/>
          <a:ext cx="609600" cy="50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1.2.2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22860</xdr:colOff>
      <xdr:row>83</xdr:row>
      <xdr:rowOff>160020</xdr:rowOff>
    </xdr:from>
    <xdr:to>
      <xdr:col>21</xdr:col>
      <xdr:colOff>556260</xdr:colOff>
      <xdr:row>83</xdr:row>
      <xdr:rowOff>160020</xdr:rowOff>
    </xdr:to>
    <xdr:sp macro="" textlink="">
      <xdr:nvSpPr>
        <xdr:cNvPr id="27607" name="Line 66">
          <a:extLst>
            <a:ext uri="{FF2B5EF4-FFF2-40B4-BE49-F238E27FC236}">
              <a16:creationId xmlns:a16="http://schemas.microsoft.com/office/drawing/2014/main" id="{D633CABC-4997-463B-85D6-92B579966D10}"/>
            </a:ext>
          </a:extLst>
        </xdr:cNvPr>
        <xdr:cNvSpPr>
          <a:spLocks noChangeShapeType="1"/>
        </xdr:cNvSpPr>
      </xdr:nvSpPr>
      <xdr:spPr bwMode="auto">
        <a:xfrm>
          <a:off x="12824460" y="14142720"/>
          <a:ext cx="533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541020</xdr:colOff>
      <xdr:row>37</xdr:row>
      <xdr:rowOff>45720</xdr:rowOff>
    </xdr:from>
    <xdr:to>
      <xdr:col>8</xdr:col>
      <xdr:colOff>381000</xdr:colOff>
      <xdr:row>37</xdr:row>
      <xdr:rowOff>45720</xdr:rowOff>
    </xdr:to>
    <xdr:sp macro="" textlink="">
      <xdr:nvSpPr>
        <xdr:cNvPr id="27608" name="Line 67">
          <a:extLst>
            <a:ext uri="{FF2B5EF4-FFF2-40B4-BE49-F238E27FC236}">
              <a16:creationId xmlns:a16="http://schemas.microsoft.com/office/drawing/2014/main" id="{9C91AAF0-4BE9-4C9A-BC28-BA49DD1EA0DC}"/>
            </a:ext>
          </a:extLst>
        </xdr:cNvPr>
        <xdr:cNvSpPr>
          <a:spLocks noChangeShapeType="1"/>
        </xdr:cNvSpPr>
      </xdr:nvSpPr>
      <xdr:spPr bwMode="auto">
        <a:xfrm>
          <a:off x="4808220" y="6309360"/>
          <a:ext cx="4495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238125</xdr:colOff>
      <xdr:row>35</xdr:row>
      <xdr:rowOff>160020</xdr:rowOff>
    </xdr:from>
    <xdr:to>
      <xdr:col>11</xdr:col>
      <xdr:colOff>247650</xdr:colOff>
      <xdr:row>38</xdr:row>
      <xdr:rowOff>137160</xdr:rowOff>
    </xdr:to>
    <xdr:sp macro="" textlink="">
      <xdr:nvSpPr>
        <xdr:cNvPr id="15428" name="Rectangle 68">
          <a:extLst>
            <a:ext uri="{FF2B5EF4-FFF2-40B4-BE49-F238E27FC236}">
              <a16:creationId xmlns:a16="http://schemas.microsoft.com/office/drawing/2014/main" id="{61107AFC-D22D-4109-B263-C3FF135C08E3}"/>
            </a:ext>
          </a:extLst>
        </xdr:cNvPr>
        <xdr:cNvSpPr>
          <a:spLocks noChangeArrowheads="1"/>
        </xdr:cNvSpPr>
      </xdr:nvSpPr>
      <xdr:spPr bwMode="auto">
        <a:xfrm>
          <a:off x="6334125" y="5886450"/>
          <a:ext cx="6191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1.2.3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350520</xdr:colOff>
      <xdr:row>23</xdr:row>
      <xdr:rowOff>7620</xdr:rowOff>
    </xdr:from>
    <xdr:to>
      <xdr:col>5</xdr:col>
      <xdr:colOff>350520</xdr:colOff>
      <xdr:row>36</xdr:row>
      <xdr:rowOff>0</xdr:rowOff>
    </xdr:to>
    <xdr:sp macro="" textlink="">
      <xdr:nvSpPr>
        <xdr:cNvPr id="27610" name="Line 69">
          <a:extLst>
            <a:ext uri="{FF2B5EF4-FFF2-40B4-BE49-F238E27FC236}">
              <a16:creationId xmlns:a16="http://schemas.microsoft.com/office/drawing/2014/main" id="{3113CF22-04D3-491E-95D7-58664E6D1F51}"/>
            </a:ext>
          </a:extLst>
        </xdr:cNvPr>
        <xdr:cNvSpPr>
          <a:spLocks noChangeShapeType="1"/>
        </xdr:cNvSpPr>
      </xdr:nvSpPr>
      <xdr:spPr bwMode="auto">
        <a:xfrm>
          <a:off x="3398520" y="3916680"/>
          <a:ext cx="0" cy="2171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342900</xdr:colOff>
      <xdr:row>8</xdr:row>
      <xdr:rowOff>121920</xdr:rowOff>
    </xdr:from>
    <xdr:to>
      <xdr:col>17</xdr:col>
      <xdr:colOff>342900</xdr:colOff>
      <xdr:row>11</xdr:row>
      <xdr:rowOff>121920</xdr:rowOff>
    </xdr:to>
    <xdr:sp macro="" textlink="">
      <xdr:nvSpPr>
        <xdr:cNvPr id="15430" name="Rectangle 70">
          <a:extLst>
            <a:ext uri="{FF2B5EF4-FFF2-40B4-BE49-F238E27FC236}">
              <a16:creationId xmlns:a16="http://schemas.microsoft.com/office/drawing/2014/main" id="{A3B500C9-D431-4B40-8662-5C35D688E661}"/>
            </a:ext>
          </a:extLst>
        </xdr:cNvPr>
        <xdr:cNvSpPr>
          <a:spLocks noChangeArrowheads="1"/>
        </xdr:cNvSpPr>
      </xdr:nvSpPr>
      <xdr:spPr bwMode="auto">
        <a:xfrm>
          <a:off x="10096500" y="1476375"/>
          <a:ext cx="609600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1.2.3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342900</xdr:colOff>
      <xdr:row>12</xdr:row>
      <xdr:rowOff>142875</xdr:rowOff>
    </xdr:from>
    <xdr:to>
      <xdr:col>17</xdr:col>
      <xdr:colOff>352425</xdr:colOff>
      <xdr:row>15</xdr:row>
      <xdr:rowOff>133350</xdr:rowOff>
    </xdr:to>
    <xdr:sp macro="" textlink="">
      <xdr:nvSpPr>
        <xdr:cNvPr id="15431" name="Rectangle 71">
          <a:extLst>
            <a:ext uri="{FF2B5EF4-FFF2-40B4-BE49-F238E27FC236}">
              <a16:creationId xmlns:a16="http://schemas.microsoft.com/office/drawing/2014/main" id="{C4745490-16F0-48B3-9927-70506E0DA6FD}"/>
            </a:ext>
          </a:extLst>
        </xdr:cNvPr>
        <xdr:cNvSpPr>
          <a:spLocks noChangeArrowheads="1"/>
        </xdr:cNvSpPr>
      </xdr:nvSpPr>
      <xdr:spPr bwMode="auto">
        <a:xfrm>
          <a:off x="10096500" y="2152650"/>
          <a:ext cx="619125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1.2.2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0</xdr:colOff>
      <xdr:row>15</xdr:row>
      <xdr:rowOff>129540</xdr:rowOff>
    </xdr:from>
    <xdr:to>
      <xdr:col>17</xdr:col>
      <xdr:colOff>0</xdr:colOff>
      <xdr:row>16</xdr:row>
      <xdr:rowOff>160020</xdr:rowOff>
    </xdr:to>
    <xdr:sp macro="" textlink="">
      <xdr:nvSpPr>
        <xdr:cNvPr id="27613" name="Line 72">
          <a:extLst>
            <a:ext uri="{FF2B5EF4-FFF2-40B4-BE49-F238E27FC236}">
              <a16:creationId xmlns:a16="http://schemas.microsoft.com/office/drawing/2014/main" id="{B3527343-3911-441F-B756-CB85F8EA63EA}"/>
            </a:ext>
          </a:extLst>
        </xdr:cNvPr>
        <xdr:cNvSpPr>
          <a:spLocks noChangeShapeType="1"/>
        </xdr:cNvSpPr>
      </xdr:nvSpPr>
      <xdr:spPr bwMode="auto">
        <a:xfrm>
          <a:off x="10363200" y="2697480"/>
          <a:ext cx="0" cy="198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0</xdr:colOff>
      <xdr:row>7</xdr:row>
      <xdr:rowOff>91440</xdr:rowOff>
    </xdr:from>
    <xdr:to>
      <xdr:col>17</xdr:col>
      <xdr:colOff>0</xdr:colOff>
      <xdr:row>8</xdr:row>
      <xdr:rowOff>106680</xdr:rowOff>
    </xdr:to>
    <xdr:sp macro="" textlink="">
      <xdr:nvSpPr>
        <xdr:cNvPr id="27614" name="Line 73">
          <a:extLst>
            <a:ext uri="{FF2B5EF4-FFF2-40B4-BE49-F238E27FC236}">
              <a16:creationId xmlns:a16="http://schemas.microsoft.com/office/drawing/2014/main" id="{153EBA3E-8BC2-487D-AD12-A98C1186B043}"/>
            </a:ext>
          </a:extLst>
        </xdr:cNvPr>
        <xdr:cNvSpPr>
          <a:spLocks noChangeShapeType="1"/>
        </xdr:cNvSpPr>
      </xdr:nvSpPr>
      <xdr:spPr bwMode="auto">
        <a:xfrm flipV="1">
          <a:off x="10363200" y="1318260"/>
          <a:ext cx="0" cy="182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342900</xdr:colOff>
      <xdr:row>27</xdr:row>
      <xdr:rowOff>104775</xdr:rowOff>
    </xdr:from>
    <xdr:to>
      <xdr:col>17</xdr:col>
      <xdr:colOff>342900</xdr:colOff>
      <xdr:row>30</xdr:row>
      <xdr:rowOff>104775</xdr:rowOff>
    </xdr:to>
    <xdr:sp macro="" textlink="">
      <xdr:nvSpPr>
        <xdr:cNvPr id="15434" name="Rectangle 74">
          <a:extLst>
            <a:ext uri="{FF2B5EF4-FFF2-40B4-BE49-F238E27FC236}">
              <a16:creationId xmlns:a16="http://schemas.microsoft.com/office/drawing/2014/main" id="{6F89CFA7-C77A-4710-B7DA-AE35E8D87852}"/>
            </a:ext>
          </a:extLst>
        </xdr:cNvPr>
        <xdr:cNvSpPr>
          <a:spLocks noChangeArrowheads="1"/>
        </xdr:cNvSpPr>
      </xdr:nvSpPr>
      <xdr:spPr bwMode="auto">
        <a:xfrm>
          <a:off x="10096500" y="4543425"/>
          <a:ext cx="609600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1.2.3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342900</xdr:colOff>
      <xdr:row>32</xdr:row>
      <xdr:rowOff>0</xdr:rowOff>
    </xdr:from>
    <xdr:to>
      <xdr:col>17</xdr:col>
      <xdr:colOff>352425</xdr:colOff>
      <xdr:row>35</xdr:row>
      <xdr:rowOff>0</xdr:rowOff>
    </xdr:to>
    <xdr:sp macro="" textlink="">
      <xdr:nvSpPr>
        <xdr:cNvPr id="15435" name="Rectangle 75">
          <a:extLst>
            <a:ext uri="{FF2B5EF4-FFF2-40B4-BE49-F238E27FC236}">
              <a16:creationId xmlns:a16="http://schemas.microsoft.com/office/drawing/2014/main" id="{08FB22A9-83CB-4A8D-BCC4-FB98FBAFCEBD}"/>
            </a:ext>
          </a:extLst>
        </xdr:cNvPr>
        <xdr:cNvSpPr>
          <a:spLocks noChangeArrowheads="1"/>
        </xdr:cNvSpPr>
      </xdr:nvSpPr>
      <xdr:spPr bwMode="auto">
        <a:xfrm>
          <a:off x="10096500" y="5248275"/>
          <a:ext cx="619125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Е 1.2.2</a:t>
          </a: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7620</xdr:colOff>
      <xdr:row>35</xdr:row>
      <xdr:rowOff>0</xdr:rowOff>
    </xdr:from>
    <xdr:to>
      <xdr:col>17</xdr:col>
      <xdr:colOff>7620</xdr:colOff>
      <xdr:row>36</xdr:row>
      <xdr:rowOff>7620</xdr:rowOff>
    </xdr:to>
    <xdr:sp macro="" textlink="">
      <xdr:nvSpPr>
        <xdr:cNvPr id="27617" name="Line 76">
          <a:extLst>
            <a:ext uri="{FF2B5EF4-FFF2-40B4-BE49-F238E27FC236}">
              <a16:creationId xmlns:a16="http://schemas.microsoft.com/office/drawing/2014/main" id="{FD13493D-CF9A-4EEA-BC43-D0B0D1691399}"/>
            </a:ext>
          </a:extLst>
        </xdr:cNvPr>
        <xdr:cNvSpPr>
          <a:spLocks noChangeShapeType="1"/>
        </xdr:cNvSpPr>
      </xdr:nvSpPr>
      <xdr:spPr bwMode="auto">
        <a:xfrm>
          <a:off x="10370820" y="5920740"/>
          <a:ext cx="0" cy="175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7620</xdr:colOff>
      <xdr:row>26</xdr:row>
      <xdr:rowOff>91440</xdr:rowOff>
    </xdr:from>
    <xdr:to>
      <xdr:col>17</xdr:col>
      <xdr:colOff>7620</xdr:colOff>
      <xdr:row>27</xdr:row>
      <xdr:rowOff>106680</xdr:rowOff>
    </xdr:to>
    <xdr:sp macro="" textlink="">
      <xdr:nvSpPr>
        <xdr:cNvPr id="27618" name="Line 77">
          <a:extLst>
            <a:ext uri="{FF2B5EF4-FFF2-40B4-BE49-F238E27FC236}">
              <a16:creationId xmlns:a16="http://schemas.microsoft.com/office/drawing/2014/main" id="{0A1500EA-1429-496A-A8A5-8B46FFF7CB25}"/>
            </a:ext>
          </a:extLst>
        </xdr:cNvPr>
        <xdr:cNvSpPr>
          <a:spLocks noChangeShapeType="1"/>
        </xdr:cNvSpPr>
      </xdr:nvSpPr>
      <xdr:spPr bwMode="auto">
        <a:xfrm flipV="1">
          <a:off x="10370820" y="4503420"/>
          <a:ext cx="0" cy="182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85725</xdr:colOff>
      <xdr:row>18</xdr:row>
      <xdr:rowOff>160020</xdr:rowOff>
    </xdr:from>
    <xdr:to>
      <xdr:col>1</xdr:col>
      <xdr:colOff>28575</xdr:colOff>
      <xdr:row>24</xdr:row>
      <xdr:rowOff>0</xdr:rowOff>
    </xdr:to>
    <xdr:sp macro="" textlink="">
      <xdr:nvSpPr>
        <xdr:cNvPr id="15438" name="Rectangle 78">
          <a:extLst>
            <a:ext uri="{FF2B5EF4-FFF2-40B4-BE49-F238E27FC236}">
              <a16:creationId xmlns:a16="http://schemas.microsoft.com/office/drawing/2014/main" id="{A401B736-5E58-42C5-9AA3-29722856A451}"/>
            </a:ext>
          </a:extLst>
        </xdr:cNvPr>
        <xdr:cNvSpPr>
          <a:spLocks noChangeArrowheads="1"/>
        </xdr:cNvSpPr>
      </xdr:nvSpPr>
      <xdr:spPr bwMode="auto">
        <a:xfrm>
          <a:off x="85725" y="3133725"/>
          <a:ext cx="552450" cy="819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Б 1.1.1*</a:t>
          </a:r>
        </a:p>
        <a:p>
          <a:pPr algn="ctr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198120</xdr:colOff>
      <xdr:row>11</xdr:row>
      <xdr:rowOff>91440</xdr:rowOff>
    </xdr:from>
    <xdr:to>
      <xdr:col>1</xdr:col>
      <xdr:colOff>0</xdr:colOff>
      <xdr:row>18</xdr:row>
      <xdr:rowOff>144780</xdr:rowOff>
    </xdr:to>
    <xdr:sp macro="" textlink="">
      <xdr:nvSpPr>
        <xdr:cNvPr id="27620" name="Line 79">
          <a:extLst>
            <a:ext uri="{FF2B5EF4-FFF2-40B4-BE49-F238E27FC236}">
              <a16:creationId xmlns:a16="http://schemas.microsoft.com/office/drawing/2014/main" id="{3E302C32-BF7F-469D-A846-A661C819EA05}"/>
            </a:ext>
          </a:extLst>
        </xdr:cNvPr>
        <xdr:cNvSpPr>
          <a:spLocks noChangeShapeType="1"/>
        </xdr:cNvSpPr>
      </xdr:nvSpPr>
      <xdr:spPr bwMode="auto">
        <a:xfrm flipV="1">
          <a:off x="198120" y="1988820"/>
          <a:ext cx="411480" cy="12268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381000</xdr:colOff>
      <xdr:row>16</xdr:row>
      <xdr:rowOff>99060</xdr:rowOff>
    </xdr:from>
    <xdr:to>
      <xdr:col>0</xdr:col>
      <xdr:colOff>594360</xdr:colOff>
      <xdr:row>18</xdr:row>
      <xdr:rowOff>160020</xdr:rowOff>
    </xdr:to>
    <xdr:sp macro="" textlink="">
      <xdr:nvSpPr>
        <xdr:cNvPr id="27621" name="Line 80">
          <a:extLst>
            <a:ext uri="{FF2B5EF4-FFF2-40B4-BE49-F238E27FC236}">
              <a16:creationId xmlns:a16="http://schemas.microsoft.com/office/drawing/2014/main" id="{EC8DD29A-F817-4AB7-BFB3-4F77E0A88BB4}"/>
            </a:ext>
          </a:extLst>
        </xdr:cNvPr>
        <xdr:cNvSpPr>
          <a:spLocks noChangeShapeType="1"/>
        </xdr:cNvSpPr>
      </xdr:nvSpPr>
      <xdr:spPr bwMode="auto">
        <a:xfrm flipV="1">
          <a:off x="381000" y="2834640"/>
          <a:ext cx="213360" cy="396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160020</xdr:colOff>
      <xdr:row>23</xdr:row>
      <xdr:rowOff>160020</xdr:rowOff>
    </xdr:from>
    <xdr:to>
      <xdr:col>0</xdr:col>
      <xdr:colOff>601980</xdr:colOff>
      <xdr:row>31</xdr:row>
      <xdr:rowOff>99060</xdr:rowOff>
    </xdr:to>
    <xdr:sp macro="" textlink="">
      <xdr:nvSpPr>
        <xdr:cNvPr id="27622" name="Line 81">
          <a:extLst>
            <a:ext uri="{FF2B5EF4-FFF2-40B4-BE49-F238E27FC236}">
              <a16:creationId xmlns:a16="http://schemas.microsoft.com/office/drawing/2014/main" id="{9C53319A-CAD1-4BA1-BFB6-FD0B061F8807}"/>
            </a:ext>
          </a:extLst>
        </xdr:cNvPr>
        <xdr:cNvSpPr>
          <a:spLocks noChangeShapeType="1"/>
        </xdr:cNvSpPr>
      </xdr:nvSpPr>
      <xdr:spPr bwMode="auto">
        <a:xfrm>
          <a:off x="160020" y="4069080"/>
          <a:ext cx="441960" cy="12801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373380</xdr:colOff>
      <xdr:row>23</xdr:row>
      <xdr:rowOff>160020</xdr:rowOff>
    </xdr:from>
    <xdr:to>
      <xdr:col>0</xdr:col>
      <xdr:colOff>579120</xdr:colOff>
      <xdr:row>26</xdr:row>
      <xdr:rowOff>99060</xdr:rowOff>
    </xdr:to>
    <xdr:sp macro="" textlink="">
      <xdr:nvSpPr>
        <xdr:cNvPr id="27623" name="Line 82">
          <a:extLst>
            <a:ext uri="{FF2B5EF4-FFF2-40B4-BE49-F238E27FC236}">
              <a16:creationId xmlns:a16="http://schemas.microsoft.com/office/drawing/2014/main" id="{FEE19642-DAA1-44E6-A7E3-4A152119FB69}"/>
            </a:ext>
          </a:extLst>
        </xdr:cNvPr>
        <xdr:cNvSpPr>
          <a:spLocks noChangeShapeType="1"/>
        </xdr:cNvSpPr>
      </xdr:nvSpPr>
      <xdr:spPr bwMode="auto">
        <a:xfrm>
          <a:off x="373380" y="4069080"/>
          <a:ext cx="205740" cy="4419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563880</xdr:colOff>
      <xdr:row>29</xdr:row>
      <xdr:rowOff>60960</xdr:rowOff>
    </xdr:from>
    <xdr:to>
      <xdr:col>9</xdr:col>
      <xdr:colOff>563880</xdr:colOff>
      <xdr:row>31</xdr:row>
      <xdr:rowOff>0</xdr:rowOff>
    </xdr:to>
    <xdr:sp macro="" textlink="">
      <xdr:nvSpPr>
        <xdr:cNvPr id="27624" name="Line 83">
          <a:extLst>
            <a:ext uri="{FF2B5EF4-FFF2-40B4-BE49-F238E27FC236}">
              <a16:creationId xmlns:a16="http://schemas.microsoft.com/office/drawing/2014/main" id="{083FDA2F-944B-4CEC-A23F-ED29875AC3B0}"/>
            </a:ext>
          </a:extLst>
        </xdr:cNvPr>
        <xdr:cNvSpPr>
          <a:spLocks noChangeShapeType="1"/>
        </xdr:cNvSpPr>
      </xdr:nvSpPr>
      <xdr:spPr bwMode="auto">
        <a:xfrm flipH="1">
          <a:off x="6050280" y="4975860"/>
          <a:ext cx="0" cy="274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563880</xdr:colOff>
      <xdr:row>12</xdr:row>
      <xdr:rowOff>7620</xdr:rowOff>
    </xdr:from>
    <xdr:to>
      <xdr:col>9</xdr:col>
      <xdr:colOff>563880</xdr:colOff>
      <xdr:row>13</xdr:row>
      <xdr:rowOff>106680</xdr:rowOff>
    </xdr:to>
    <xdr:sp macro="" textlink="">
      <xdr:nvSpPr>
        <xdr:cNvPr id="27625" name="Line 84">
          <a:extLst>
            <a:ext uri="{FF2B5EF4-FFF2-40B4-BE49-F238E27FC236}">
              <a16:creationId xmlns:a16="http://schemas.microsoft.com/office/drawing/2014/main" id="{6FB1F80E-DCF9-4642-ADE0-F123C762370E}"/>
            </a:ext>
          </a:extLst>
        </xdr:cNvPr>
        <xdr:cNvSpPr>
          <a:spLocks noChangeShapeType="1"/>
        </xdr:cNvSpPr>
      </xdr:nvSpPr>
      <xdr:spPr bwMode="auto">
        <a:xfrm flipH="1" flipV="1">
          <a:off x="6050280" y="207264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441960</xdr:colOff>
      <xdr:row>25</xdr:row>
      <xdr:rowOff>0</xdr:rowOff>
    </xdr:from>
    <xdr:to>
      <xdr:col>14</xdr:col>
      <xdr:colOff>441960</xdr:colOff>
      <xdr:row>26</xdr:row>
      <xdr:rowOff>30480</xdr:rowOff>
    </xdr:to>
    <xdr:sp macro="" textlink="">
      <xdr:nvSpPr>
        <xdr:cNvPr id="27626" name="Line 86">
          <a:extLst>
            <a:ext uri="{FF2B5EF4-FFF2-40B4-BE49-F238E27FC236}">
              <a16:creationId xmlns:a16="http://schemas.microsoft.com/office/drawing/2014/main" id="{648E6C70-9743-4050-B15A-0C405D68EA80}"/>
            </a:ext>
          </a:extLst>
        </xdr:cNvPr>
        <xdr:cNvSpPr>
          <a:spLocks noChangeShapeType="1"/>
        </xdr:cNvSpPr>
      </xdr:nvSpPr>
      <xdr:spPr bwMode="auto">
        <a:xfrm flipH="1" flipV="1">
          <a:off x="8976360" y="4244340"/>
          <a:ext cx="0" cy="198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449580</xdr:colOff>
      <xdr:row>35</xdr:row>
      <xdr:rowOff>160020</xdr:rowOff>
    </xdr:from>
    <xdr:to>
      <xdr:col>14</xdr:col>
      <xdr:colOff>449580</xdr:colOff>
      <xdr:row>37</xdr:row>
      <xdr:rowOff>76200</xdr:rowOff>
    </xdr:to>
    <xdr:sp macro="" textlink="">
      <xdr:nvSpPr>
        <xdr:cNvPr id="27627" name="Line 87">
          <a:extLst>
            <a:ext uri="{FF2B5EF4-FFF2-40B4-BE49-F238E27FC236}">
              <a16:creationId xmlns:a16="http://schemas.microsoft.com/office/drawing/2014/main" id="{B6B040B5-8D88-4585-88C4-DF147D48EAE8}"/>
            </a:ext>
          </a:extLst>
        </xdr:cNvPr>
        <xdr:cNvSpPr>
          <a:spLocks noChangeShapeType="1"/>
        </xdr:cNvSpPr>
      </xdr:nvSpPr>
      <xdr:spPr bwMode="auto">
        <a:xfrm>
          <a:off x="8983980" y="608076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45720</xdr:colOff>
      <xdr:row>37</xdr:row>
      <xdr:rowOff>60960</xdr:rowOff>
    </xdr:from>
    <xdr:to>
      <xdr:col>6</xdr:col>
      <xdr:colOff>510540</xdr:colOff>
      <xdr:row>37</xdr:row>
      <xdr:rowOff>60960</xdr:rowOff>
    </xdr:to>
    <xdr:sp macro="" textlink="">
      <xdr:nvSpPr>
        <xdr:cNvPr id="27628" name="Line 91">
          <a:extLst>
            <a:ext uri="{FF2B5EF4-FFF2-40B4-BE49-F238E27FC236}">
              <a16:creationId xmlns:a16="http://schemas.microsoft.com/office/drawing/2014/main" id="{A60D40AB-0527-488A-9FA0-B26621C58130}"/>
            </a:ext>
          </a:extLst>
        </xdr:cNvPr>
        <xdr:cNvSpPr>
          <a:spLocks noChangeShapeType="1"/>
        </xdr:cNvSpPr>
      </xdr:nvSpPr>
      <xdr:spPr bwMode="auto">
        <a:xfrm>
          <a:off x="3703320" y="6324600"/>
          <a:ext cx="4648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793750</xdr:colOff>
          <xdr:row>6</xdr:row>
          <xdr:rowOff>0</xdr:rowOff>
        </xdr:from>
        <xdr:to>
          <xdr:col>2</xdr:col>
          <xdr:colOff>1987550</xdr:colOff>
          <xdr:row>6</xdr:row>
          <xdr:rowOff>622300</xdr:rowOff>
        </xdr:to>
        <xdr:sp macro="" textlink="">
          <xdr:nvSpPr>
            <xdr:cNvPr id="6183" name="Object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1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450850</xdr:colOff>
          <xdr:row>5</xdr:row>
          <xdr:rowOff>260350</xdr:rowOff>
        </xdr:from>
        <xdr:to>
          <xdr:col>2</xdr:col>
          <xdr:colOff>2552700</xdr:colOff>
          <xdr:row>5</xdr:row>
          <xdr:rowOff>838200</xdr:rowOff>
        </xdr:to>
        <xdr:sp macro="" textlink="">
          <xdr:nvSpPr>
            <xdr:cNvPr id="6184" name="Object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1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958850</xdr:colOff>
          <xdr:row>8</xdr:row>
          <xdr:rowOff>50800</xdr:rowOff>
        </xdr:from>
        <xdr:to>
          <xdr:col>2</xdr:col>
          <xdr:colOff>1803400</xdr:colOff>
          <xdr:row>8</xdr:row>
          <xdr:rowOff>527050</xdr:rowOff>
        </xdr:to>
        <xdr:sp macro="" textlink="">
          <xdr:nvSpPr>
            <xdr:cNvPr id="6187" name="Object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1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673100</xdr:colOff>
          <xdr:row>10</xdr:row>
          <xdr:rowOff>69850</xdr:rowOff>
        </xdr:from>
        <xdr:to>
          <xdr:col>2</xdr:col>
          <xdr:colOff>2673350</xdr:colOff>
          <xdr:row>10</xdr:row>
          <xdr:rowOff>679450</xdr:rowOff>
        </xdr:to>
        <xdr:sp macro="" textlink="">
          <xdr:nvSpPr>
            <xdr:cNvPr id="6188" name="Object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1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1028700</xdr:colOff>
          <xdr:row>13</xdr:row>
          <xdr:rowOff>82550</xdr:rowOff>
        </xdr:from>
        <xdr:to>
          <xdr:col>2</xdr:col>
          <xdr:colOff>1968500</xdr:colOff>
          <xdr:row>13</xdr:row>
          <xdr:rowOff>546100</xdr:rowOff>
        </xdr:to>
        <xdr:sp macro="" textlink="">
          <xdr:nvSpPr>
            <xdr:cNvPr id="6189" name="Object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1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1022350</xdr:colOff>
          <xdr:row>15</xdr:row>
          <xdr:rowOff>127000</xdr:rowOff>
        </xdr:from>
        <xdr:to>
          <xdr:col>2</xdr:col>
          <xdr:colOff>1905000</xdr:colOff>
          <xdr:row>15</xdr:row>
          <xdr:rowOff>596900</xdr:rowOff>
        </xdr:to>
        <xdr:sp macro="" textlink="">
          <xdr:nvSpPr>
            <xdr:cNvPr id="6191" name="Object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1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685800</xdr:colOff>
          <xdr:row>18</xdr:row>
          <xdr:rowOff>6350</xdr:rowOff>
        </xdr:from>
        <xdr:to>
          <xdr:col>2</xdr:col>
          <xdr:colOff>2330450</xdr:colOff>
          <xdr:row>18</xdr:row>
          <xdr:rowOff>584200</xdr:rowOff>
        </xdr:to>
        <xdr:sp macro="" textlink="">
          <xdr:nvSpPr>
            <xdr:cNvPr id="6193" name="Object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1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749300</xdr:colOff>
          <xdr:row>21</xdr:row>
          <xdr:rowOff>6350</xdr:rowOff>
        </xdr:from>
        <xdr:to>
          <xdr:col>2</xdr:col>
          <xdr:colOff>2432050</xdr:colOff>
          <xdr:row>21</xdr:row>
          <xdr:rowOff>571500</xdr:rowOff>
        </xdr:to>
        <xdr:sp macro="" textlink="">
          <xdr:nvSpPr>
            <xdr:cNvPr id="6195" name="Object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1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577850</xdr:colOff>
          <xdr:row>23</xdr:row>
          <xdr:rowOff>69850</xdr:rowOff>
        </xdr:from>
        <xdr:to>
          <xdr:col>2</xdr:col>
          <xdr:colOff>2438400</xdr:colOff>
          <xdr:row>23</xdr:row>
          <xdr:rowOff>393700</xdr:rowOff>
        </xdr:to>
        <xdr:sp macro="" textlink="">
          <xdr:nvSpPr>
            <xdr:cNvPr id="6197" name="Object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1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831850</xdr:colOff>
          <xdr:row>32</xdr:row>
          <xdr:rowOff>25400</xdr:rowOff>
        </xdr:from>
        <xdr:to>
          <xdr:col>2</xdr:col>
          <xdr:colOff>2298700</xdr:colOff>
          <xdr:row>33</xdr:row>
          <xdr:rowOff>38100</xdr:rowOff>
        </xdr:to>
        <xdr:sp macro="" textlink="">
          <xdr:nvSpPr>
            <xdr:cNvPr id="6201" name="Object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1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952500</xdr:colOff>
          <xdr:row>33</xdr:row>
          <xdr:rowOff>44450</xdr:rowOff>
        </xdr:from>
        <xdr:to>
          <xdr:col>2</xdr:col>
          <xdr:colOff>2794000</xdr:colOff>
          <xdr:row>33</xdr:row>
          <xdr:rowOff>298450</xdr:rowOff>
        </xdr:to>
        <xdr:sp macro="" textlink="">
          <xdr:nvSpPr>
            <xdr:cNvPr id="6203" name="Object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00000000-0008-0000-0100-00003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679450</xdr:colOff>
          <xdr:row>22</xdr:row>
          <xdr:rowOff>260350</xdr:rowOff>
        </xdr:from>
        <xdr:to>
          <xdr:col>2</xdr:col>
          <xdr:colOff>2362200</xdr:colOff>
          <xdr:row>22</xdr:row>
          <xdr:rowOff>825500</xdr:rowOff>
        </xdr:to>
        <xdr:sp macro="" textlink="">
          <xdr:nvSpPr>
            <xdr:cNvPr id="6204" name="Object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00000000-0008-0000-0100-00003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679450</xdr:colOff>
          <xdr:row>27</xdr:row>
          <xdr:rowOff>254000</xdr:rowOff>
        </xdr:from>
        <xdr:to>
          <xdr:col>2</xdr:col>
          <xdr:colOff>2362200</xdr:colOff>
          <xdr:row>27</xdr:row>
          <xdr:rowOff>812800</xdr:rowOff>
        </xdr:to>
        <xdr:sp macro="" textlink="">
          <xdr:nvSpPr>
            <xdr:cNvPr id="6205" name="Object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00000000-0008-0000-0100-00003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336550</xdr:colOff>
          <xdr:row>5</xdr:row>
          <xdr:rowOff>254000</xdr:rowOff>
        </xdr:from>
        <xdr:to>
          <xdr:col>2</xdr:col>
          <xdr:colOff>2438400</xdr:colOff>
          <xdr:row>5</xdr:row>
          <xdr:rowOff>831850</xdr:rowOff>
        </xdr:to>
        <xdr:sp macro="" textlink="">
          <xdr:nvSpPr>
            <xdr:cNvPr id="7210" name="Object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2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793750</xdr:colOff>
          <xdr:row>6</xdr:row>
          <xdr:rowOff>6350</xdr:rowOff>
        </xdr:from>
        <xdr:to>
          <xdr:col>2</xdr:col>
          <xdr:colOff>1987550</xdr:colOff>
          <xdr:row>7</xdr:row>
          <xdr:rowOff>44450</xdr:rowOff>
        </xdr:to>
        <xdr:sp macro="" textlink="">
          <xdr:nvSpPr>
            <xdr:cNvPr id="7211" name="Object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2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990600</xdr:colOff>
          <xdr:row>8</xdr:row>
          <xdr:rowOff>31750</xdr:rowOff>
        </xdr:from>
        <xdr:to>
          <xdr:col>2</xdr:col>
          <xdr:colOff>1828800</xdr:colOff>
          <xdr:row>8</xdr:row>
          <xdr:rowOff>495300</xdr:rowOff>
        </xdr:to>
        <xdr:sp macro="" textlink="">
          <xdr:nvSpPr>
            <xdr:cNvPr id="7212" name="Object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2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546100</xdr:colOff>
          <xdr:row>10</xdr:row>
          <xdr:rowOff>0</xdr:rowOff>
        </xdr:from>
        <xdr:to>
          <xdr:col>2</xdr:col>
          <xdr:colOff>2552700</xdr:colOff>
          <xdr:row>10</xdr:row>
          <xdr:rowOff>571500</xdr:rowOff>
        </xdr:to>
        <xdr:sp macro="" textlink="">
          <xdr:nvSpPr>
            <xdr:cNvPr id="7213" name="Object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2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1016000</xdr:colOff>
          <xdr:row>13</xdr:row>
          <xdr:rowOff>50800</xdr:rowOff>
        </xdr:from>
        <xdr:to>
          <xdr:col>2</xdr:col>
          <xdr:colOff>1949450</xdr:colOff>
          <xdr:row>13</xdr:row>
          <xdr:rowOff>520700</xdr:rowOff>
        </xdr:to>
        <xdr:sp macro="" textlink="">
          <xdr:nvSpPr>
            <xdr:cNvPr id="7214" name="Object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2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793750</xdr:colOff>
          <xdr:row>15</xdr:row>
          <xdr:rowOff>25400</xdr:rowOff>
        </xdr:from>
        <xdr:to>
          <xdr:col>2</xdr:col>
          <xdr:colOff>1917700</xdr:colOff>
          <xdr:row>15</xdr:row>
          <xdr:rowOff>508000</xdr:rowOff>
        </xdr:to>
        <xdr:sp macro="" textlink="">
          <xdr:nvSpPr>
            <xdr:cNvPr id="7215" name="Object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2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18</xdr:row>
          <xdr:rowOff>6350</xdr:rowOff>
        </xdr:from>
        <xdr:to>
          <xdr:col>2</xdr:col>
          <xdr:colOff>2216150</xdr:colOff>
          <xdr:row>18</xdr:row>
          <xdr:rowOff>584200</xdr:rowOff>
        </xdr:to>
        <xdr:sp macro="" textlink="">
          <xdr:nvSpPr>
            <xdr:cNvPr id="7216" name="Object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2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406400</xdr:colOff>
          <xdr:row>19</xdr:row>
          <xdr:rowOff>139700</xdr:rowOff>
        </xdr:from>
        <xdr:to>
          <xdr:col>2</xdr:col>
          <xdr:colOff>2260600</xdr:colOff>
          <xdr:row>19</xdr:row>
          <xdr:rowOff>469900</xdr:rowOff>
        </xdr:to>
        <xdr:sp macro="" textlink="">
          <xdr:nvSpPr>
            <xdr:cNvPr id="7217" name="Object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2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730250</xdr:colOff>
          <xdr:row>30</xdr:row>
          <xdr:rowOff>69850</xdr:rowOff>
        </xdr:from>
        <xdr:to>
          <xdr:col>2</xdr:col>
          <xdr:colOff>2203450</xdr:colOff>
          <xdr:row>30</xdr:row>
          <xdr:rowOff>647700</xdr:rowOff>
        </xdr:to>
        <xdr:sp macro="" textlink="">
          <xdr:nvSpPr>
            <xdr:cNvPr id="7218" name="Object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2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762000</xdr:colOff>
          <xdr:row>31</xdr:row>
          <xdr:rowOff>82550</xdr:rowOff>
        </xdr:from>
        <xdr:to>
          <xdr:col>2</xdr:col>
          <xdr:colOff>2597150</xdr:colOff>
          <xdr:row>31</xdr:row>
          <xdr:rowOff>330200</xdr:rowOff>
        </xdr:to>
        <xdr:sp macro="" textlink="">
          <xdr:nvSpPr>
            <xdr:cNvPr id="7219" name="Object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2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749300</xdr:colOff>
          <xdr:row>23</xdr:row>
          <xdr:rowOff>6350</xdr:rowOff>
        </xdr:from>
        <xdr:to>
          <xdr:col>2</xdr:col>
          <xdr:colOff>2432050</xdr:colOff>
          <xdr:row>23</xdr:row>
          <xdr:rowOff>571500</xdr:rowOff>
        </xdr:to>
        <xdr:sp macro="" textlink="">
          <xdr:nvSpPr>
            <xdr:cNvPr id="7220" name="Object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2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679450</xdr:colOff>
          <xdr:row>24</xdr:row>
          <xdr:rowOff>260350</xdr:rowOff>
        </xdr:from>
        <xdr:to>
          <xdr:col>2</xdr:col>
          <xdr:colOff>2362200</xdr:colOff>
          <xdr:row>24</xdr:row>
          <xdr:rowOff>825500</xdr:rowOff>
        </xdr:to>
        <xdr:sp macro="" textlink="">
          <xdr:nvSpPr>
            <xdr:cNvPr id="7221" name="Object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2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444500</xdr:colOff>
          <xdr:row>25</xdr:row>
          <xdr:rowOff>25400</xdr:rowOff>
        </xdr:from>
        <xdr:to>
          <xdr:col>2</xdr:col>
          <xdr:colOff>2298700</xdr:colOff>
          <xdr:row>25</xdr:row>
          <xdr:rowOff>355600</xdr:rowOff>
        </xdr:to>
        <xdr:sp macro="" textlink="">
          <xdr:nvSpPr>
            <xdr:cNvPr id="7222" name="Object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2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679450</xdr:colOff>
          <xdr:row>27</xdr:row>
          <xdr:rowOff>260350</xdr:rowOff>
        </xdr:from>
        <xdr:to>
          <xdr:col>2</xdr:col>
          <xdr:colOff>2362200</xdr:colOff>
          <xdr:row>27</xdr:row>
          <xdr:rowOff>825500</xdr:rowOff>
        </xdr:to>
        <xdr:sp macro="" textlink="">
          <xdr:nvSpPr>
            <xdr:cNvPr id="7223" name="Object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2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177800</xdr:colOff>
          <xdr:row>5</xdr:row>
          <xdr:rowOff>660400</xdr:rowOff>
        </xdr:from>
        <xdr:to>
          <xdr:col>2</xdr:col>
          <xdr:colOff>2286000</xdr:colOff>
          <xdr:row>5</xdr:row>
          <xdr:rowOff>1257300</xdr:rowOff>
        </xdr:to>
        <xdr:sp macro="" textlink="">
          <xdr:nvSpPr>
            <xdr:cNvPr id="8239" name="Object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3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241300</xdr:colOff>
          <xdr:row>6</xdr:row>
          <xdr:rowOff>158750</xdr:rowOff>
        </xdr:from>
        <xdr:to>
          <xdr:col>2</xdr:col>
          <xdr:colOff>2082800</xdr:colOff>
          <xdr:row>6</xdr:row>
          <xdr:rowOff>800100</xdr:rowOff>
        </xdr:to>
        <xdr:sp macro="" textlink="">
          <xdr:nvSpPr>
            <xdr:cNvPr id="8240" name="Object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3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546100</xdr:colOff>
          <xdr:row>8</xdr:row>
          <xdr:rowOff>184150</xdr:rowOff>
        </xdr:from>
        <xdr:to>
          <xdr:col>2</xdr:col>
          <xdr:colOff>1866900</xdr:colOff>
          <xdr:row>8</xdr:row>
          <xdr:rowOff>774700</xdr:rowOff>
        </xdr:to>
        <xdr:sp macro="" textlink="">
          <xdr:nvSpPr>
            <xdr:cNvPr id="8242" name="Object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3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349250</xdr:colOff>
          <xdr:row>10</xdr:row>
          <xdr:rowOff>0</xdr:rowOff>
        </xdr:from>
        <xdr:to>
          <xdr:col>2</xdr:col>
          <xdr:colOff>2355850</xdr:colOff>
          <xdr:row>10</xdr:row>
          <xdr:rowOff>596900</xdr:rowOff>
        </xdr:to>
        <xdr:sp macro="" textlink="">
          <xdr:nvSpPr>
            <xdr:cNvPr id="8243" name="Object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3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292100</xdr:colOff>
          <xdr:row>14</xdr:row>
          <xdr:rowOff>139700</xdr:rowOff>
        </xdr:from>
        <xdr:to>
          <xdr:col>2</xdr:col>
          <xdr:colOff>2139950</xdr:colOff>
          <xdr:row>14</xdr:row>
          <xdr:rowOff>717550</xdr:rowOff>
        </xdr:to>
        <xdr:sp macro="" textlink="">
          <xdr:nvSpPr>
            <xdr:cNvPr id="8244" name="Object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3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501650</xdr:colOff>
          <xdr:row>16</xdr:row>
          <xdr:rowOff>31750</xdr:rowOff>
        </xdr:from>
        <xdr:to>
          <xdr:col>2</xdr:col>
          <xdr:colOff>1631950</xdr:colOff>
          <xdr:row>16</xdr:row>
          <xdr:rowOff>565150</xdr:rowOff>
        </xdr:to>
        <xdr:sp macro="" textlink="">
          <xdr:nvSpPr>
            <xdr:cNvPr id="8245" name="Object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3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127000</xdr:colOff>
          <xdr:row>20</xdr:row>
          <xdr:rowOff>6350</xdr:rowOff>
        </xdr:from>
        <xdr:to>
          <xdr:col>2</xdr:col>
          <xdr:colOff>2279650</xdr:colOff>
          <xdr:row>20</xdr:row>
          <xdr:rowOff>584200</xdr:rowOff>
        </xdr:to>
        <xdr:sp macro="" textlink="">
          <xdr:nvSpPr>
            <xdr:cNvPr id="8246" name="Object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3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215900</xdr:colOff>
          <xdr:row>21</xdr:row>
          <xdr:rowOff>31750</xdr:rowOff>
        </xdr:from>
        <xdr:to>
          <xdr:col>2</xdr:col>
          <xdr:colOff>2387600</xdr:colOff>
          <xdr:row>21</xdr:row>
          <xdr:rowOff>457200</xdr:rowOff>
        </xdr:to>
        <xdr:sp macro="" textlink="">
          <xdr:nvSpPr>
            <xdr:cNvPr id="8247" name="Object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3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184150</xdr:colOff>
          <xdr:row>26</xdr:row>
          <xdr:rowOff>146050</xdr:rowOff>
        </xdr:from>
        <xdr:to>
          <xdr:col>2</xdr:col>
          <xdr:colOff>2279650</xdr:colOff>
          <xdr:row>26</xdr:row>
          <xdr:rowOff>711200</xdr:rowOff>
        </xdr:to>
        <xdr:sp macro="" textlink="">
          <xdr:nvSpPr>
            <xdr:cNvPr id="8248" name="Object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3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457200</xdr:colOff>
          <xdr:row>27</xdr:row>
          <xdr:rowOff>355600</xdr:rowOff>
        </xdr:from>
        <xdr:to>
          <xdr:col>2</xdr:col>
          <xdr:colOff>2139950</xdr:colOff>
          <xdr:row>27</xdr:row>
          <xdr:rowOff>914400</xdr:rowOff>
        </xdr:to>
        <xdr:sp macro="" textlink="">
          <xdr:nvSpPr>
            <xdr:cNvPr id="8249" name="Object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3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107950</xdr:colOff>
          <xdr:row>28</xdr:row>
          <xdr:rowOff>63500</xdr:rowOff>
        </xdr:from>
        <xdr:to>
          <xdr:col>2</xdr:col>
          <xdr:colOff>2355850</xdr:colOff>
          <xdr:row>28</xdr:row>
          <xdr:rowOff>381000</xdr:rowOff>
        </xdr:to>
        <xdr:sp macro="" textlink="">
          <xdr:nvSpPr>
            <xdr:cNvPr id="8250" name="Object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3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241300</xdr:colOff>
          <xdr:row>30</xdr:row>
          <xdr:rowOff>685800</xdr:rowOff>
        </xdr:from>
        <xdr:to>
          <xdr:col>2</xdr:col>
          <xdr:colOff>2393950</xdr:colOff>
          <xdr:row>30</xdr:row>
          <xdr:rowOff>1244600</xdr:rowOff>
        </xdr:to>
        <xdr:sp macro="" textlink="">
          <xdr:nvSpPr>
            <xdr:cNvPr id="8251" name="Object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3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8252" name="Object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3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8253" name="Object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3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127000</xdr:colOff>
          <xdr:row>34</xdr:row>
          <xdr:rowOff>114300</xdr:rowOff>
        </xdr:from>
        <xdr:to>
          <xdr:col>2</xdr:col>
          <xdr:colOff>2368550</xdr:colOff>
          <xdr:row>34</xdr:row>
          <xdr:rowOff>692150</xdr:rowOff>
        </xdr:to>
        <xdr:sp macro="" textlink="">
          <xdr:nvSpPr>
            <xdr:cNvPr id="8254" name="Object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00000000-0008-0000-0300-00003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342900</xdr:colOff>
          <xdr:row>35</xdr:row>
          <xdr:rowOff>107950</xdr:rowOff>
        </xdr:from>
        <xdr:to>
          <xdr:col>2</xdr:col>
          <xdr:colOff>2178050</xdr:colOff>
          <xdr:row>35</xdr:row>
          <xdr:rowOff>349250</xdr:rowOff>
        </xdr:to>
        <xdr:sp macro="" textlink="">
          <xdr:nvSpPr>
            <xdr:cNvPr id="8255" name="Object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00000000-0008-0000-0300-00003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482600</xdr:colOff>
          <xdr:row>5</xdr:row>
          <xdr:rowOff>419100</xdr:rowOff>
        </xdr:from>
        <xdr:to>
          <xdr:col>2</xdr:col>
          <xdr:colOff>1841500</xdr:colOff>
          <xdr:row>5</xdr:row>
          <xdr:rowOff>654050</xdr:rowOff>
        </xdr:to>
        <xdr:sp macro="" textlink="">
          <xdr:nvSpPr>
            <xdr:cNvPr id="9232" name="Object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4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558800</xdr:colOff>
          <xdr:row>6</xdr:row>
          <xdr:rowOff>12700</xdr:rowOff>
        </xdr:from>
        <xdr:to>
          <xdr:col>2</xdr:col>
          <xdr:colOff>1981200</xdr:colOff>
          <xdr:row>7</xdr:row>
          <xdr:rowOff>6350</xdr:rowOff>
        </xdr:to>
        <xdr:sp macro="" textlink="">
          <xdr:nvSpPr>
            <xdr:cNvPr id="9233" name="Object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4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406400</xdr:colOff>
          <xdr:row>9</xdr:row>
          <xdr:rowOff>44450</xdr:rowOff>
        </xdr:from>
        <xdr:to>
          <xdr:col>2</xdr:col>
          <xdr:colOff>1822450</xdr:colOff>
          <xdr:row>10</xdr:row>
          <xdr:rowOff>0</xdr:rowOff>
        </xdr:to>
        <xdr:sp macro="" textlink="">
          <xdr:nvSpPr>
            <xdr:cNvPr id="9234" name="Object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4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222250</xdr:colOff>
          <xdr:row>7</xdr:row>
          <xdr:rowOff>50800</xdr:rowOff>
        </xdr:from>
        <xdr:to>
          <xdr:col>2</xdr:col>
          <xdr:colOff>2063750</xdr:colOff>
          <xdr:row>7</xdr:row>
          <xdr:rowOff>304800</xdr:rowOff>
        </xdr:to>
        <xdr:sp macro="" textlink="">
          <xdr:nvSpPr>
            <xdr:cNvPr id="9235" name="Object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4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203200</xdr:colOff>
          <xdr:row>8</xdr:row>
          <xdr:rowOff>31750</xdr:rowOff>
        </xdr:from>
        <xdr:to>
          <xdr:col>2</xdr:col>
          <xdr:colOff>1955800</xdr:colOff>
          <xdr:row>8</xdr:row>
          <xdr:rowOff>273050</xdr:rowOff>
        </xdr:to>
        <xdr:sp macro="" textlink="">
          <xdr:nvSpPr>
            <xdr:cNvPr id="9236" name="Object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4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10</xdr:row>
          <xdr:rowOff>69850</xdr:rowOff>
        </xdr:from>
        <xdr:to>
          <xdr:col>2</xdr:col>
          <xdr:colOff>2254250</xdr:colOff>
          <xdr:row>10</xdr:row>
          <xdr:rowOff>311150</xdr:rowOff>
        </xdr:to>
        <xdr:sp macro="" textlink="">
          <xdr:nvSpPr>
            <xdr:cNvPr id="9237" name="Object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4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139700</xdr:colOff>
          <xdr:row>11</xdr:row>
          <xdr:rowOff>107950</xdr:rowOff>
        </xdr:from>
        <xdr:to>
          <xdr:col>2</xdr:col>
          <xdr:colOff>2254250</xdr:colOff>
          <xdr:row>11</xdr:row>
          <xdr:rowOff>349250</xdr:rowOff>
        </xdr:to>
        <xdr:sp macro="" textlink="">
          <xdr:nvSpPr>
            <xdr:cNvPr id="9238" name="Object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4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863600</xdr:colOff>
          <xdr:row>6</xdr:row>
          <xdr:rowOff>609600</xdr:rowOff>
        </xdr:from>
        <xdr:to>
          <xdr:col>2</xdr:col>
          <xdr:colOff>1612900</xdr:colOff>
          <xdr:row>6</xdr:row>
          <xdr:rowOff>1003300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146050</xdr:colOff>
          <xdr:row>10</xdr:row>
          <xdr:rowOff>69850</xdr:rowOff>
        </xdr:from>
        <xdr:to>
          <xdr:col>2</xdr:col>
          <xdr:colOff>1187450</xdr:colOff>
          <xdr:row>10</xdr:row>
          <xdr:rowOff>298450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D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196850</xdr:colOff>
          <xdr:row>11</xdr:row>
          <xdr:rowOff>44450</xdr:rowOff>
        </xdr:from>
        <xdr:to>
          <xdr:col>2</xdr:col>
          <xdr:colOff>1143000</xdr:colOff>
          <xdr:row>11</xdr:row>
          <xdr:rowOff>279400</xdr:rowOff>
        </xdr:to>
        <xdr:sp macro="" textlink="">
          <xdr:nvSpPr>
            <xdr:cNvPr id="13315" name="Object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D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63500</xdr:colOff>
          <xdr:row>7</xdr:row>
          <xdr:rowOff>69850</xdr:rowOff>
        </xdr:from>
        <xdr:to>
          <xdr:col>2</xdr:col>
          <xdr:colOff>1257300</xdr:colOff>
          <xdr:row>7</xdr:row>
          <xdr:rowOff>311150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D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317500</xdr:colOff>
          <xdr:row>6</xdr:row>
          <xdr:rowOff>107950</xdr:rowOff>
        </xdr:from>
        <xdr:to>
          <xdr:col>2</xdr:col>
          <xdr:colOff>1016000</xdr:colOff>
          <xdr:row>6</xdr:row>
          <xdr:rowOff>342900</xdr:rowOff>
        </xdr:to>
        <xdr:sp macro="" textlink="">
          <xdr:nvSpPr>
            <xdr:cNvPr id="13317" name="Object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D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6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21.bin"/><Relationship Id="rId26" Type="http://schemas.openxmlformats.org/officeDocument/2006/relationships/oleObject" Target="../embeddings/oleObject25.bin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0.emf"/><Relationship Id="rId7" Type="http://schemas.openxmlformats.org/officeDocument/2006/relationships/image" Target="../media/image1.wmf"/><Relationship Id="rId12" Type="http://schemas.openxmlformats.org/officeDocument/2006/relationships/oleObject" Target="../embeddings/oleObject18.bin"/><Relationship Id="rId17" Type="http://schemas.openxmlformats.org/officeDocument/2006/relationships/image" Target="../media/image17.emf"/><Relationship Id="rId25" Type="http://schemas.openxmlformats.org/officeDocument/2006/relationships/image" Target="../media/image8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20.bin"/><Relationship Id="rId20" Type="http://schemas.openxmlformats.org/officeDocument/2006/relationships/oleObject" Target="../embeddings/oleObject22.bin"/><Relationship Id="rId29" Type="http://schemas.openxmlformats.org/officeDocument/2006/relationships/image" Target="../media/image21.emf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5.bin"/><Relationship Id="rId11" Type="http://schemas.openxmlformats.org/officeDocument/2006/relationships/image" Target="../media/image15.emf"/><Relationship Id="rId24" Type="http://schemas.openxmlformats.org/officeDocument/2006/relationships/oleObject" Target="../embeddings/oleObject24.bin"/><Relationship Id="rId5" Type="http://schemas.openxmlformats.org/officeDocument/2006/relationships/image" Target="../media/image14.emf"/><Relationship Id="rId15" Type="http://schemas.openxmlformats.org/officeDocument/2006/relationships/image" Target="../media/image16.emf"/><Relationship Id="rId23" Type="http://schemas.openxmlformats.org/officeDocument/2006/relationships/image" Target="../media/image19.emf"/><Relationship Id="rId28" Type="http://schemas.openxmlformats.org/officeDocument/2006/relationships/oleObject" Target="../embeddings/oleObject26.bin"/><Relationship Id="rId10" Type="http://schemas.openxmlformats.org/officeDocument/2006/relationships/oleObject" Target="../embeddings/oleObject17.bin"/><Relationship Id="rId19" Type="http://schemas.openxmlformats.org/officeDocument/2006/relationships/image" Target="../media/image18.emf"/><Relationship Id="rId31" Type="http://schemas.openxmlformats.org/officeDocument/2006/relationships/image" Target="../media/image22.emf"/><Relationship Id="rId4" Type="http://schemas.openxmlformats.org/officeDocument/2006/relationships/oleObject" Target="../embeddings/oleObject14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19.bin"/><Relationship Id="rId22" Type="http://schemas.openxmlformats.org/officeDocument/2006/relationships/oleObject" Target="../embeddings/oleObject23.bin"/><Relationship Id="rId27" Type="http://schemas.openxmlformats.org/officeDocument/2006/relationships/image" Target="../media/image20.emf"/><Relationship Id="rId30" Type="http://schemas.openxmlformats.org/officeDocument/2006/relationships/oleObject" Target="../embeddings/oleObject27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7.emf"/><Relationship Id="rId18" Type="http://schemas.openxmlformats.org/officeDocument/2006/relationships/oleObject" Target="../embeddings/oleObject35.bin"/><Relationship Id="rId26" Type="http://schemas.openxmlformats.org/officeDocument/2006/relationships/oleObject" Target="../embeddings/oleObject39.bin"/><Relationship Id="rId3" Type="http://schemas.openxmlformats.org/officeDocument/2006/relationships/vmlDrawing" Target="../drawings/vmlDrawing3.vml"/><Relationship Id="rId21" Type="http://schemas.openxmlformats.org/officeDocument/2006/relationships/image" Target="../media/image31.emf"/><Relationship Id="rId34" Type="http://schemas.openxmlformats.org/officeDocument/2006/relationships/oleObject" Target="../embeddings/oleObject43.bin"/><Relationship Id="rId7" Type="http://schemas.openxmlformats.org/officeDocument/2006/relationships/image" Target="../media/image24.emf"/><Relationship Id="rId12" Type="http://schemas.openxmlformats.org/officeDocument/2006/relationships/oleObject" Target="../embeddings/oleObject32.bin"/><Relationship Id="rId17" Type="http://schemas.openxmlformats.org/officeDocument/2006/relationships/image" Target="../media/image29.emf"/><Relationship Id="rId25" Type="http://schemas.openxmlformats.org/officeDocument/2006/relationships/image" Target="../media/image33.emf"/><Relationship Id="rId33" Type="http://schemas.openxmlformats.org/officeDocument/2006/relationships/image" Target="../media/image35.emf"/><Relationship Id="rId2" Type="http://schemas.openxmlformats.org/officeDocument/2006/relationships/drawing" Target="../drawings/drawing4.xml"/><Relationship Id="rId16" Type="http://schemas.openxmlformats.org/officeDocument/2006/relationships/oleObject" Target="../embeddings/oleObject34.bin"/><Relationship Id="rId20" Type="http://schemas.openxmlformats.org/officeDocument/2006/relationships/oleObject" Target="../embeddings/oleObject36.bin"/><Relationship Id="rId29" Type="http://schemas.openxmlformats.org/officeDocument/2006/relationships/image" Target="../media/image10.emf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9.bin"/><Relationship Id="rId11" Type="http://schemas.openxmlformats.org/officeDocument/2006/relationships/image" Target="../media/image26.emf"/><Relationship Id="rId24" Type="http://schemas.openxmlformats.org/officeDocument/2006/relationships/oleObject" Target="../embeddings/oleObject38.bin"/><Relationship Id="rId32" Type="http://schemas.openxmlformats.org/officeDocument/2006/relationships/oleObject" Target="../embeddings/oleObject42.bin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23" Type="http://schemas.openxmlformats.org/officeDocument/2006/relationships/image" Target="../media/image32.emf"/><Relationship Id="rId28" Type="http://schemas.openxmlformats.org/officeDocument/2006/relationships/oleObject" Target="../embeddings/oleObject40.bin"/><Relationship Id="rId10" Type="http://schemas.openxmlformats.org/officeDocument/2006/relationships/oleObject" Target="../embeddings/oleObject31.bin"/><Relationship Id="rId19" Type="http://schemas.openxmlformats.org/officeDocument/2006/relationships/image" Target="../media/image30.emf"/><Relationship Id="rId31" Type="http://schemas.openxmlformats.org/officeDocument/2006/relationships/image" Target="../media/image19.emf"/><Relationship Id="rId4" Type="http://schemas.openxmlformats.org/officeDocument/2006/relationships/oleObject" Target="../embeddings/oleObject28.bin"/><Relationship Id="rId9" Type="http://schemas.openxmlformats.org/officeDocument/2006/relationships/image" Target="../media/image25.emf"/><Relationship Id="rId14" Type="http://schemas.openxmlformats.org/officeDocument/2006/relationships/oleObject" Target="../embeddings/oleObject33.bin"/><Relationship Id="rId22" Type="http://schemas.openxmlformats.org/officeDocument/2006/relationships/oleObject" Target="../embeddings/oleObject37.bin"/><Relationship Id="rId27" Type="http://schemas.openxmlformats.org/officeDocument/2006/relationships/image" Target="../media/image34.emf"/><Relationship Id="rId30" Type="http://schemas.openxmlformats.org/officeDocument/2006/relationships/oleObject" Target="../embeddings/oleObject41.bin"/><Relationship Id="rId8" Type="http://schemas.openxmlformats.org/officeDocument/2006/relationships/oleObject" Target="../embeddings/oleObject30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6.bin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37.emf"/><Relationship Id="rId12" Type="http://schemas.openxmlformats.org/officeDocument/2006/relationships/oleObject" Target="../embeddings/oleObject48.bin"/><Relationship Id="rId17" Type="http://schemas.openxmlformats.org/officeDocument/2006/relationships/image" Target="../media/image42.emf"/><Relationship Id="rId2" Type="http://schemas.openxmlformats.org/officeDocument/2006/relationships/drawing" Target="../drawings/drawing5.xml"/><Relationship Id="rId16" Type="http://schemas.openxmlformats.org/officeDocument/2006/relationships/oleObject" Target="../embeddings/oleObject50.bin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45.bin"/><Relationship Id="rId11" Type="http://schemas.openxmlformats.org/officeDocument/2006/relationships/image" Target="../media/image39.emf"/><Relationship Id="rId5" Type="http://schemas.openxmlformats.org/officeDocument/2006/relationships/image" Target="../media/image36.wmf"/><Relationship Id="rId15" Type="http://schemas.openxmlformats.org/officeDocument/2006/relationships/image" Target="../media/image41.emf"/><Relationship Id="rId10" Type="http://schemas.openxmlformats.org/officeDocument/2006/relationships/oleObject" Target="../embeddings/oleObject47.bin"/><Relationship Id="rId4" Type="http://schemas.openxmlformats.org/officeDocument/2006/relationships/oleObject" Target="../embeddings/oleObject44.bin"/><Relationship Id="rId9" Type="http://schemas.openxmlformats.org/officeDocument/2006/relationships/image" Target="../media/image38.emf"/><Relationship Id="rId14" Type="http://schemas.openxmlformats.org/officeDocument/2006/relationships/oleObject" Target="../embeddings/oleObject4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1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openxmlformats.org/officeDocument/2006/relationships/image" Target="../media/image43.w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4.bin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5.wmf"/><Relationship Id="rId12" Type="http://schemas.openxmlformats.org/officeDocument/2006/relationships/comments" Target="../comments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53.bin"/><Relationship Id="rId11" Type="http://schemas.openxmlformats.org/officeDocument/2006/relationships/image" Target="../media/image47.wmf"/><Relationship Id="rId5" Type="http://schemas.openxmlformats.org/officeDocument/2006/relationships/image" Target="../media/image44.wmf"/><Relationship Id="rId10" Type="http://schemas.openxmlformats.org/officeDocument/2006/relationships/oleObject" Target="../embeddings/oleObject55.bin"/><Relationship Id="rId4" Type="http://schemas.openxmlformats.org/officeDocument/2006/relationships/oleObject" Target="../embeddings/oleObject52.bin"/><Relationship Id="rId9" Type="http://schemas.openxmlformats.org/officeDocument/2006/relationships/image" Target="../media/image46.e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9"/>
  <sheetViews>
    <sheetView showGridLines="0" topLeftCell="G22" zoomScaleNormal="100" workbookViewId="0">
      <selection activeCell="I57" sqref="I57"/>
    </sheetView>
  </sheetViews>
  <sheetFormatPr defaultRowHeight="12.5" x14ac:dyDescent="0.25"/>
  <sheetData>
    <row r="2" spans="2:23" ht="18" x14ac:dyDescent="0.25">
      <c r="B2" s="210" t="s">
        <v>214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82"/>
    </row>
    <row r="37" spans="1:5" ht="14" x14ac:dyDescent="0.25">
      <c r="A37" s="211" t="s">
        <v>169</v>
      </c>
      <c r="B37" s="211"/>
      <c r="C37" s="211"/>
      <c r="D37" s="211"/>
      <c r="E37" s="211"/>
    </row>
    <row r="39" spans="1:5" ht="14" x14ac:dyDescent="0.25">
      <c r="A39" s="211" t="s">
        <v>168</v>
      </c>
      <c r="B39" s="211"/>
      <c r="C39" s="211"/>
      <c r="D39" s="211"/>
      <c r="E39" s="211"/>
    </row>
  </sheetData>
  <mergeCells count="3">
    <mergeCell ref="B2:V2"/>
    <mergeCell ref="A37:E37"/>
    <mergeCell ref="A39:E39"/>
  </mergeCells>
  <phoneticPr fontId="35" type="noConversion"/>
  <pageMargins left="0.75" right="0.75" top="1" bottom="1" header="0.5" footer="0.5"/>
  <pageSetup paperSize="9" scale="68" orientation="landscape" r:id="rId1"/>
  <headerFooter alignWithMargins="0"/>
  <rowBreaks count="1" manualBreakCount="1">
    <brk id="40" max="20" man="1"/>
  </rowBreaks>
  <colBreaks count="1" manualBreakCount="1">
    <brk id="21" min="1" max="4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Y1001"/>
  <sheetViews>
    <sheetView topLeftCell="A19" zoomScaleNormal="100" workbookViewId="0">
      <selection activeCell="D24" sqref="D24"/>
    </sheetView>
  </sheetViews>
  <sheetFormatPr defaultColWidth="12.54296875" defaultRowHeight="15" customHeight="1" x14ac:dyDescent="0.25"/>
  <cols>
    <col min="1" max="1" width="28.453125" customWidth="1"/>
    <col min="2" max="2" width="8.6328125" style="125" customWidth="1"/>
    <col min="3" max="3" width="46.08984375" customWidth="1"/>
    <col min="4" max="4" width="19.36328125" customWidth="1"/>
    <col min="5" max="5" width="21.453125" customWidth="1"/>
    <col min="6" max="6" width="8" customWidth="1"/>
    <col min="7" max="25" width="7" customWidth="1"/>
    <col min="26" max="26" width="11" customWidth="1"/>
  </cols>
  <sheetData>
    <row r="1" spans="1:25" ht="15.75" customHeight="1" x14ac:dyDescent="0.25">
      <c r="A1" s="1"/>
      <c r="B1" s="123"/>
      <c r="C1" s="1"/>
      <c r="D1" s="2" t="s">
        <v>251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"/>
      <c r="B2" s="12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customHeight="1" x14ac:dyDescent="0.25">
      <c r="A3" s="3" t="s">
        <v>325</v>
      </c>
      <c r="B3" s="12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1"/>
      <c r="B4" s="1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5" customHeight="1" x14ac:dyDescent="0.25">
      <c r="A5" s="4" t="s">
        <v>452</v>
      </c>
      <c r="B5" s="126" t="s">
        <v>453</v>
      </c>
      <c r="C5" s="121" t="s">
        <v>454</v>
      </c>
      <c r="D5" s="94" t="s">
        <v>455</v>
      </c>
      <c r="E5" s="4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07.25" customHeight="1" x14ac:dyDescent="0.35">
      <c r="A6" s="113" t="s">
        <v>457</v>
      </c>
      <c r="B6" s="104" t="s">
        <v>164</v>
      </c>
      <c r="C6" s="120"/>
      <c r="D6" s="122" t="s">
        <v>458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0.25" customHeight="1" x14ac:dyDescent="0.25">
      <c r="A7" s="100" t="s">
        <v>459</v>
      </c>
      <c r="B7" s="104" t="s">
        <v>165</v>
      </c>
      <c r="D7" s="10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7.25" customHeight="1" x14ac:dyDescent="0.35">
      <c r="A8" s="96" t="s">
        <v>460</v>
      </c>
      <c r="B8" s="104" t="s">
        <v>184</v>
      </c>
      <c r="C8" s="102" t="s">
        <v>461</v>
      </c>
      <c r="D8" s="7" t="s">
        <v>462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1.75" customHeight="1" x14ac:dyDescent="0.35">
      <c r="A9" s="101" t="s">
        <v>463</v>
      </c>
      <c r="B9" s="104" t="s">
        <v>185</v>
      </c>
      <c r="C9" s="103" t="s">
        <v>166</v>
      </c>
      <c r="D9" s="106" t="s">
        <v>464</v>
      </c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7.25" customHeight="1" x14ac:dyDescent="0.35">
      <c r="A10" s="101" t="s">
        <v>410</v>
      </c>
      <c r="B10" s="104" t="s">
        <v>186</v>
      </c>
      <c r="C10" s="102" t="s">
        <v>465</v>
      </c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2.5" customHeight="1" x14ac:dyDescent="0.35">
      <c r="A11" s="95" t="s">
        <v>466</v>
      </c>
      <c r="B11" s="104" t="s">
        <v>187</v>
      </c>
      <c r="C11" s="176" t="s">
        <v>411</v>
      </c>
      <c r="D11" s="13"/>
      <c r="E11" s="14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81.75" customHeight="1" x14ac:dyDescent="0.25">
      <c r="A12" s="95" t="s">
        <v>467</v>
      </c>
      <c r="B12" s="104" t="s">
        <v>188</v>
      </c>
      <c r="C12" s="98" t="s">
        <v>412</v>
      </c>
      <c r="D12" s="10" t="s">
        <v>468</v>
      </c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3" customHeight="1" x14ac:dyDescent="0.35">
      <c r="A13" s="96" t="s">
        <v>469</v>
      </c>
      <c r="B13" s="104" t="s">
        <v>189</v>
      </c>
      <c r="C13" s="99" t="s">
        <v>413</v>
      </c>
      <c r="D13" s="10" t="s">
        <v>468</v>
      </c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50.25" customHeight="1" x14ac:dyDescent="0.3">
      <c r="A14" s="105" t="s">
        <v>470</v>
      </c>
      <c r="B14" s="124" t="s">
        <v>167</v>
      </c>
      <c r="D14" s="8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7.25" customHeight="1" x14ac:dyDescent="0.35">
      <c r="A15" s="101" t="s">
        <v>471</v>
      </c>
      <c r="B15" s="104" t="s">
        <v>180</v>
      </c>
      <c r="C15" s="102" t="s">
        <v>172</v>
      </c>
      <c r="D15" s="7" t="s">
        <v>472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03.25" customHeight="1" x14ac:dyDescent="0.35">
      <c r="A16" s="101" t="s">
        <v>473</v>
      </c>
      <c r="B16" s="104" t="s">
        <v>181</v>
      </c>
      <c r="C16" s="102" t="s">
        <v>170</v>
      </c>
      <c r="D16" s="106" t="s">
        <v>474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1.5" customHeight="1" x14ac:dyDescent="0.35">
      <c r="A17" s="96" t="s">
        <v>475</v>
      </c>
      <c r="B17" s="104" t="s">
        <v>182</v>
      </c>
      <c r="C17" s="102" t="s">
        <v>407</v>
      </c>
      <c r="D17" s="7" t="s">
        <v>468</v>
      </c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7.25" customHeight="1" x14ac:dyDescent="0.35">
      <c r="A18" s="96" t="s">
        <v>476</v>
      </c>
      <c r="B18" s="104" t="s">
        <v>183</v>
      </c>
      <c r="C18" s="98" t="s">
        <v>414</v>
      </c>
      <c r="D18" s="10" t="s">
        <v>477</v>
      </c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51" customHeight="1" x14ac:dyDescent="0.25">
      <c r="A19" s="114" t="s">
        <v>478</v>
      </c>
      <c r="B19" s="104" t="s">
        <v>449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60" customHeight="1" x14ac:dyDescent="0.3">
      <c r="A20" s="115" t="s">
        <v>173</v>
      </c>
      <c r="B20" s="104" t="s">
        <v>190</v>
      </c>
      <c r="C20" s="110" t="s">
        <v>400</v>
      </c>
      <c r="D20" s="20" t="s">
        <v>477</v>
      </c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70" x14ac:dyDescent="0.3">
      <c r="A21" s="115" t="s">
        <v>174</v>
      </c>
      <c r="B21" s="104" t="s">
        <v>191</v>
      </c>
      <c r="C21" s="110" t="s">
        <v>399</v>
      </c>
      <c r="D21" s="20" t="s">
        <v>477</v>
      </c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78.75" customHeight="1" x14ac:dyDescent="0.25">
      <c r="A22" s="114" t="s">
        <v>264</v>
      </c>
      <c r="B22" s="104" t="s">
        <v>445</v>
      </c>
      <c r="D22" s="107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92.25" customHeight="1" x14ac:dyDescent="0.3">
      <c r="A23" s="108" t="s">
        <v>236</v>
      </c>
      <c r="B23" s="104" t="s">
        <v>192</v>
      </c>
      <c r="C23" s="116"/>
      <c r="D23" s="10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09.5" customHeight="1" x14ac:dyDescent="0.25">
      <c r="A24" s="128" t="s">
        <v>479</v>
      </c>
      <c r="B24" s="104" t="s">
        <v>193</v>
      </c>
      <c r="C24" s="117" t="s">
        <v>176</v>
      </c>
      <c r="D24" s="110" t="s">
        <v>175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.75" customHeight="1" x14ac:dyDescent="0.25">
      <c r="A25" s="128" t="s">
        <v>480</v>
      </c>
      <c r="B25" s="104" t="s">
        <v>194</v>
      </c>
      <c r="C25" s="118" t="s">
        <v>446</v>
      </c>
      <c r="D25" s="212" t="s">
        <v>178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3.75" customHeight="1" x14ac:dyDescent="0.25">
      <c r="A26" s="128" t="s">
        <v>481</v>
      </c>
      <c r="B26" s="104" t="s">
        <v>195</v>
      </c>
      <c r="C26" s="118" t="s">
        <v>447</v>
      </c>
      <c r="D26" s="2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7.25" customHeight="1" x14ac:dyDescent="0.25">
      <c r="A27" s="128" t="s">
        <v>482</v>
      </c>
      <c r="B27" s="104" t="s">
        <v>196</v>
      </c>
      <c r="C27" s="118" t="s">
        <v>448</v>
      </c>
      <c r="D27" s="21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95.25" customHeight="1" x14ac:dyDescent="0.35">
      <c r="A28" s="96" t="s">
        <v>177</v>
      </c>
      <c r="B28" s="104" t="s">
        <v>197</v>
      </c>
      <c r="C28" s="119"/>
      <c r="D28" s="10" t="s">
        <v>477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.75" customHeight="1" x14ac:dyDescent="0.35">
      <c r="A29" s="111" t="s">
        <v>479</v>
      </c>
      <c r="B29" s="104" t="s">
        <v>198</v>
      </c>
      <c r="C29" s="98" t="s">
        <v>415</v>
      </c>
      <c r="D29" s="1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75" customHeight="1" x14ac:dyDescent="0.35">
      <c r="A30" s="111" t="s">
        <v>480</v>
      </c>
      <c r="B30" s="104" t="s">
        <v>199</v>
      </c>
      <c r="C30" s="98" t="s">
        <v>415</v>
      </c>
      <c r="D30" s="1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75" customHeight="1" x14ac:dyDescent="0.35">
      <c r="A31" s="111" t="s">
        <v>481</v>
      </c>
      <c r="B31" s="104" t="s">
        <v>200</v>
      </c>
      <c r="C31" s="98" t="s">
        <v>415</v>
      </c>
      <c r="D31" s="1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75" customHeight="1" x14ac:dyDescent="0.35">
      <c r="A32" s="111" t="s">
        <v>482</v>
      </c>
      <c r="B32" s="104" t="s">
        <v>201</v>
      </c>
      <c r="C32" s="98" t="s">
        <v>415</v>
      </c>
      <c r="D32" s="1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44.25" customHeight="1" x14ac:dyDescent="0.3">
      <c r="A33" s="105" t="s">
        <v>483</v>
      </c>
      <c r="B33" s="104" t="s">
        <v>444</v>
      </c>
      <c r="D33" s="10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8.5" customHeight="1" x14ac:dyDescent="0.35">
      <c r="A34" s="101" t="s">
        <v>484</v>
      </c>
      <c r="B34" s="104" t="s">
        <v>202</v>
      </c>
      <c r="C34" s="112" t="s">
        <v>450</v>
      </c>
      <c r="D34" s="10" t="s">
        <v>179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3" customHeight="1" x14ac:dyDescent="0.35">
      <c r="A35" s="96" t="s">
        <v>485</v>
      </c>
      <c r="B35" s="104" t="s">
        <v>203</v>
      </c>
      <c r="C35" s="98" t="s">
        <v>416</v>
      </c>
      <c r="D35" s="10" t="s">
        <v>477</v>
      </c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47.25" customHeight="1" x14ac:dyDescent="0.35">
      <c r="A36" s="96" t="s">
        <v>486</v>
      </c>
      <c r="B36" s="104" t="s">
        <v>204</v>
      </c>
      <c r="C36" s="102" t="s">
        <v>417</v>
      </c>
      <c r="D36" s="10" t="s">
        <v>477</v>
      </c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63" customHeight="1" x14ac:dyDescent="0.35">
      <c r="A37" s="96" t="s">
        <v>487</v>
      </c>
      <c r="B37" s="104" t="s">
        <v>205</v>
      </c>
      <c r="C37" s="98" t="s">
        <v>418</v>
      </c>
      <c r="D37" s="10" t="s">
        <v>477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5">
      <c r="A38" s="1"/>
      <c r="B38" s="12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5">
      <c r="A39" s="1"/>
      <c r="B39" s="12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5">
      <c r="A40" s="1"/>
      <c r="B40" s="12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2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2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2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2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2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2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2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2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2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2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2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2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2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2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2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2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2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2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2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2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2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2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2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2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2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2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2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2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2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2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2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2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2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2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2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2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2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2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2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2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2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2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2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2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2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2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2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2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2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2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2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2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2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2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2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2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2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2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2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2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2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2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2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2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2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2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2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2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2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2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2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2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2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2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2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2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2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2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2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2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2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2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2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2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2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2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2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2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2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2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2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2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2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2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2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2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2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2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2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2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2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2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2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2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2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2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2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2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2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2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2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2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2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2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2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2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2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2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2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2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2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2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2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2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2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2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2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2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2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2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2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2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2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2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2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2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2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2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2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2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2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2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2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2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2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2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2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2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2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2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2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2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2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2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2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2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2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2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2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2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2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2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2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2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2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2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2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2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2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2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2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2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2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2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2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2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2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2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2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2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2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2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2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2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2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2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2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2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2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2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2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2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2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2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2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2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2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D25:D27"/>
  </mergeCells>
  <phoneticPr fontId="35" type="noConversion"/>
  <pageMargins left="0.7" right="0.7" top="0.75" bottom="0.75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6183" r:id="rId4">
          <objectPr defaultSize="0" autoPict="0" r:id="rId5">
            <anchor moveWithCells="1" sizeWithCells="1">
              <from>
                <xdr:col>2</xdr:col>
                <xdr:colOff>793750</xdr:colOff>
                <xdr:row>6</xdr:row>
                <xdr:rowOff>0</xdr:rowOff>
              </from>
              <to>
                <xdr:col>2</xdr:col>
                <xdr:colOff>1987550</xdr:colOff>
                <xdr:row>6</xdr:row>
                <xdr:rowOff>622300</xdr:rowOff>
              </to>
            </anchor>
          </objectPr>
        </oleObject>
      </mc:Choice>
      <mc:Fallback>
        <oleObject progId="Equation.3" shapeId="6183" r:id="rId4"/>
      </mc:Fallback>
    </mc:AlternateContent>
    <mc:AlternateContent xmlns:mc="http://schemas.openxmlformats.org/markup-compatibility/2006">
      <mc:Choice Requires="x14">
        <oleObject progId="Equation.3" shapeId="6184" r:id="rId6">
          <objectPr defaultSize="0" r:id="rId7">
            <anchor moveWithCells="1" sizeWithCells="1">
              <from>
                <xdr:col>2</xdr:col>
                <xdr:colOff>450850</xdr:colOff>
                <xdr:row>5</xdr:row>
                <xdr:rowOff>260350</xdr:rowOff>
              </from>
              <to>
                <xdr:col>2</xdr:col>
                <xdr:colOff>2552700</xdr:colOff>
                <xdr:row>5</xdr:row>
                <xdr:rowOff>838200</xdr:rowOff>
              </to>
            </anchor>
          </objectPr>
        </oleObject>
      </mc:Choice>
      <mc:Fallback>
        <oleObject progId="Equation.3" shapeId="6184" r:id="rId6"/>
      </mc:Fallback>
    </mc:AlternateContent>
    <mc:AlternateContent xmlns:mc="http://schemas.openxmlformats.org/markup-compatibility/2006">
      <mc:Choice Requires="x14">
        <oleObject progId="Equation.3" shapeId="6187" r:id="rId8">
          <objectPr defaultSize="0" autoPict="0" r:id="rId9">
            <anchor moveWithCells="1" sizeWithCells="1">
              <from>
                <xdr:col>2</xdr:col>
                <xdr:colOff>958850</xdr:colOff>
                <xdr:row>8</xdr:row>
                <xdr:rowOff>50800</xdr:rowOff>
              </from>
              <to>
                <xdr:col>2</xdr:col>
                <xdr:colOff>1803400</xdr:colOff>
                <xdr:row>8</xdr:row>
                <xdr:rowOff>527050</xdr:rowOff>
              </to>
            </anchor>
          </objectPr>
        </oleObject>
      </mc:Choice>
      <mc:Fallback>
        <oleObject progId="Equation.3" shapeId="6187" r:id="rId8"/>
      </mc:Fallback>
    </mc:AlternateContent>
    <mc:AlternateContent xmlns:mc="http://schemas.openxmlformats.org/markup-compatibility/2006">
      <mc:Choice Requires="x14">
        <oleObject progId="Equation.3" shapeId="6188" r:id="rId10">
          <objectPr defaultSize="0" r:id="rId11">
            <anchor moveWithCells="1" sizeWithCells="1">
              <from>
                <xdr:col>2</xdr:col>
                <xdr:colOff>673100</xdr:colOff>
                <xdr:row>10</xdr:row>
                <xdr:rowOff>69850</xdr:rowOff>
              </from>
              <to>
                <xdr:col>2</xdr:col>
                <xdr:colOff>2673350</xdr:colOff>
                <xdr:row>10</xdr:row>
                <xdr:rowOff>679450</xdr:rowOff>
              </to>
            </anchor>
          </objectPr>
        </oleObject>
      </mc:Choice>
      <mc:Fallback>
        <oleObject progId="Equation.3" shapeId="6188" r:id="rId10"/>
      </mc:Fallback>
    </mc:AlternateContent>
    <mc:AlternateContent xmlns:mc="http://schemas.openxmlformats.org/markup-compatibility/2006">
      <mc:Choice Requires="x14">
        <oleObject progId="Equation.3" shapeId="6189" r:id="rId12">
          <objectPr defaultSize="0" autoPict="0" r:id="rId13">
            <anchor moveWithCells="1" sizeWithCells="1">
              <from>
                <xdr:col>2</xdr:col>
                <xdr:colOff>1028700</xdr:colOff>
                <xdr:row>13</xdr:row>
                <xdr:rowOff>82550</xdr:rowOff>
              </from>
              <to>
                <xdr:col>2</xdr:col>
                <xdr:colOff>1968500</xdr:colOff>
                <xdr:row>13</xdr:row>
                <xdr:rowOff>546100</xdr:rowOff>
              </to>
            </anchor>
          </objectPr>
        </oleObject>
      </mc:Choice>
      <mc:Fallback>
        <oleObject progId="Equation.3" shapeId="6189" r:id="rId12"/>
      </mc:Fallback>
    </mc:AlternateContent>
    <mc:AlternateContent xmlns:mc="http://schemas.openxmlformats.org/markup-compatibility/2006">
      <mc:Choice Requires="x14">
        <oleObject progId="Equation.3" shapeId="6191" r:id="rId14">
          <objectPr defaultSize="0" autoPict="0" r:id="rId15">
            <anchor moveWithCells="1" sizeWithCells="1">
              <from>
                <xdr:col>2</xdr:col>
                <xdr:colOff>1022350</xdr:colOff>
                <xdr:row>15</xdr:row>
                <xdr:rowOff>127000</xdr:rowOff>
              </from>
              <to>
                <xdr:col>2</xdr:col>
                <xdr:colOff>1905000</xdr:colOff>
                <xdr:row>15</xdr:row>
                <xdr:rowOff>596900</xdr:rowOff>
              </to>
            </anchor>
          </objectPr>
        </oleObject>
      </mc:Choice>
      <mc:Fallback>
        <oleObject progId="Equation.3" shapeId="6191" r:id="rId14"/>
      </mc:Fallback>
    </mc:AlternateContent>
    <mc:AlternateContent xmlns:mc="http://schemas.openxmlformats.org/markup-compatibility/2006">
      <mc:Choice Requires="x14">
        <oleObject progId="Equation.3" shapeId="6193" r:id="rId16">
          <objectPr defaultSize="0" r:id="rId17">
            <anchor moveWithCells="1" sizeWithCells="1">
              <from>
                <xdr:col>2</xdr:col>
                <xdr:colOff>685800</xdr:colOff>
                <xdr:row>18</xdr:row>
                <xdr:rowOff>6350</xdr:rowOff>
              </from>
              <to>
                <xdr:col>2</xdr:col>
                <xdr:colOff>2330450</xdr:colOff>
                <xdr:row>18</xdr:row>
                <xdr:rowOff>584200</xdr:rowOff>
              </to>
            </anchor>
          </objectPr>
        </oleObject>
      </mc:Choice>
      <mc:Fallback>
        <oleObject progId="Equation.3" shapeId="6193" r:id="rId16"/>
      </mc:Fallback>
    </mc:AlternateContent>
    <mc:AlternateContent xmlns:mc="http://schemas.openxmlformats.org/markup-compatibility/2006">
      <mc:Choice Requires="x14">
        <oleObject progId="Equation.3" shapeId="6195" r:id="rId18">
          <objectPr defaultSize="0" autoPict="0" r:id="rId19">
            <anchor moveWithCells="1" sizeWithCells="1">
              <from>
                <xdr:col>2</xdr:col>
                <xdr:colOff>749300</xdr:colOff>
                <xdr:row>21</xdr:row>
                <xdr:rowOff>6350</xdr:rowOff>
              </from>
              <to>
                <xdr:col>2</xdr:col>
                <xdr:colOff>2432050</xdr:colOff>
                <xdr:row>21</xdr:row>
                <xdr:rowOff>571500</xdr:rowOff>
              </to>
            </anchor>
          </objectPr>
        </oleObject>
      </mc:Choice>
      <mc:Fallback>
        <oleObject progId="Equation.3" shapeId="6195" r:id="rId18"/>
      </mc:Fallback>
    </mc:AlternateContent>
    <mc:AlternateContent xmlns:mc="http://schemas.openxmlformats.org/markup-compatibility/2006">
      <mc:Choice Requires="x14">
        <oleObject progId="Equation.3" shapeId="6197" r:id="rId20">
          <objectPr defaultSize="0" r:id="rId21">
            <anchor moveWithCells="1" sizeWithCells="1">
              <from>
                <xdr:col>2</xdr:col>
                <xdr:colOff>577850</xdr:colOff>
                <xdr:row>23</xdr:row>
                <xdr:rowOff>69850</xdr:rowOff>
              </from>
              <to>
                <xdr:col>2</xdr:col>
                <xdr:colOff>2438400</xdr:colOff>
                <xdr:row>23</xdr:row>
                <xdr:rowOff>393700</xdr:rowOff>
              </to>
            </anchor>
          </objectPr>
        </oleObject>
      </mc:Choice>
      <mc:Fallback>
        <oleObject progId="Equation.3" shapeId="6197" r:id="rId20"/>
      </mc:Fallback>
    </mc:AlternateContent>
    <mc:AlternateContent xmlns:mc="http://schemas.openxmlformats.org/markup-compatibility/2006">
      <mc:Choice Requires="x14">
        <oleObject progId="Equation.3" shapeId="6201" r:id="rId22">
          <objectPr defaultSize="0" r:id="rId23">
            <anchor moveWithCells="1" sizeWithCells="1">
              <from>
                <xdr:col>2</xdr:col>
                <xdr:colOff>831850</xdr:colOff>
                <xdr:row>32</xdr:row>
                <xdr:rowOff>25400</xdr:rowOff>
              </from>
              <to>
                <xdr:col>2</xdr:col>
                <xdr:colOff>2298700</xdr:colOff>
                <xdr:row>33</xdr:row>
                <xdr:rowOff>38100</xdr:rowOff>
              </to>
            </anchor>
          </objectPr>
        </oleObject>
      </mc:Choice>
      <mc:Fallback>
        <oleObject progId="Equation.3" shapeId="6201" r:id="rId22"/>
      </mc:Fallback>
    </mc:AlternateContent>
    <mc:AlternateContent xmlns:mc="http://schemas.openxmlformats.org/markup-compatibility/2006">
      <mc:Choice Requires="x14">
        <oleObject progId="Equation.3" shapeId="6203" r:id="rId24">
          <objectPr defaultSize="0" autoPict="0" r:id="rId25">
            <anchor moveWithCells="1" sizeWithCells="1">
              <from>
                <xdr:col>2</xdr:col>
                <xdr:colOff>952500</xdr:colOff>
                <xdr:row>33</xdr:row>
                <xdr:rowOff>44450</xdr:rowOff>
              </from>
              <to>
                <xdr:col>2</xdr:col>
                <xdr:colOff>2794000</xdr:colOff>
                <xdr:row>33</xdr:row>
                <xdr:rowOff>298450</xdr:rowOff>
              </to>
            </anchor>
          </objectPr>
        </oleObject>
      </mc:Choice>
      <mc:Fallback>
        <oleObject progId="Equation.3" shapeId="6203" r:id="rId24"/>
      </mc:Fallback>
    </mc:AlternateContent>
    <mc:AlternateContent xmlns:mc="http://schemas.openxmlformats.org/markup-compatibility/2006">
      <mc:Choice Requires="x14">
        <oleObject progId="Equation.3" shapeId="6204" r:id="rId26">
          <objectPr defaultSize="0" r:id="rId27">
            <anchor moveWithCells="1" sizeWithCells="1">
              <from>
                <xdr:col>2</xdr:col>
                <xdr:colOff>679450</xdr:colOff>
                <xdr:row>22</xdr:row>
                <xdr:rowOff>260350</xdr:rowOff>
              </from>
              <to>
                <xdr:col>2</xdr:col>
                <xdr:colOff>2362200</xdr:colOff>
                <xdr:row>22</xdr:row>
                <xdr:rowOff>825500</xdr:rowOff>
              </to>
            </anchor>
          </objectPr>
        </oleObject>
      </mc:Choice>
      <mc:Fallback>
        <oleObject progId="Equation.3" shapeId="6204" r:id="rId26"/>
      </mc:Fallback>
    </mc:AlternateContent>
    <mc:AlternateContent xmlns:mc="http://schemas.openxmlformats.org/markup-compatibility/2006">
      <mc:Choice Requires="x14">
        <oleObject progId="Equation.3" shapeId="6205" r:id="rId28">
          <objectPr defaultSize="0" r:id="rId29">
            <anchor moveWithCells="1" sizeWithCells="1">
              <from>
                <xdr:col>2</xdr:col>
                <xdr:colOff>679450</xdr:colOff>
                <xdr:row>27</xdr:row>
                <xdr:rowOff>254000</xdr:rowOff>
              </from>
              <to>
                <xdr:col>2</xdr:col>
                <xdr:colOff>2362200</xdr:colOff>
                <xdr:row>27</xdr:row>
                <xdr:rowOff>812800</xdr:rowOff>
              </to>
            </anchor>
          </objectPr>
        </oleObject>
      </mc:Choice>
      <mc:Fallback>
        <oleObject progId="Equation.3" shapeId="6205" r:id="rId2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Y1000"/>
  <sheetViews>
    <sheetView topLeftCell="A13" zoomScaleNormal="100" workbookViewId="0">
      <selection activeCell="D35" sqref="A29:D35"/>
    </sheetView>
  </sheetViews>
  <sheetFormatPr defaultColWidth="12.54296875" defaultRowHeight="15" customHeight="1" x14ac:dyDescent="0.25"/>
  <cols>
    <col min="1" max="1" width="25.90625" customWidth="1"/>
    <col min="2" max="2" width="9.54296875" customWidth="1"/>
    <col min="3" max="3" width="44.6328125" customWidth="1"/>
    <col min="4" max="4" width="19.36328125" customWidth="1"/>
    <col min="5" max="5" width="20.453125" customWidth="1"/>
    <col min="6" max="6" width="8" customWidth="1"/>
    <col min="7" max="25" width="7" customWidth="1"/>
    <col min="26" max="26" width="11" customWidth="1"/>
  </cols>
  <sheetData>
    <row r="1" spans="1:25" ht="15.75" customHeight="1" x14ac:dyDescent="0.25">
      <c r="A1" s="1"/>
      <c r="B1" s="1"/>
      <c r="C1" s="1"/>
      <c r="D1" s="2" t="s">
        <v>252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customHeight="1" x14ac:dyDescent="0.25">
      <c r="A3" s="3" t="s">
        <v>488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5" customHeight="1" x14ac:dyDescent="0.25">
      <c r="A5" s="4" t="s">
        <v>452</v>
      </c>
      <c r="B5" s="5" t="s">
        <v>489</v>
      </c>
      <c r="C5" s="4" t="s">
        <v>454</v>
      </c>
      <c r="D5" s="4" t="s">
        <v>455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94.5" customHeight="1" x14ac:dyDescent="0.35">
      <c r="A6" s="6" t="s">
        <v>457</v>
      </c>
      <c r="B6" s="104" t="s">
        <v>451</v>
      </c>
      <c r="C6" s="23"/>
      <c r="D6" s="7" t="s">
        <v>458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6.5" customHeight="1" x14ac:dyDescent="0.25">
      <c r="A7" s="8" t="s">
        <v>459</v>
      </c>
      <c r="B7" s="104" t="s">
        <v>165</v>
      </c>
      <c r="C7" s="9"/>
      <c r="D7" s="10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7.25" customHeight="1" x14ac:dyDescent="0.35">
      <c r="A8" s="7" t="s">
        <v>460</v>
      </c>
      <c r="B8" s="104" t="s">
        <v>184</v>
      </c>
      <c r="C8" s="7" t="s">
        <v>461</v>
      </c>
      <c r="D8" s="7" t="s">
        <v>472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8.75" customHeight="1" x14ac:dyDescent="0.35">
      <c r="A9" s="10" t="s">
        <v>463</v>
      </c>
      <c r="B9" s="104" t="s">
        <v>185</v>
      </c>
      <c r="C9" s="7" t="s">
        <v>490</v>
      </c>
      <c r="D9" s="106" t="s">
        <v>464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7.25" customHeight="1" x14ac:dyDescent="0.35">
      <c r="A10" s="10" t="s">
        <v>491</v>
      </c>
      <c r="B10" s="104" t="s">
        <v>186</v>
      </c>
      <c r="C10" s="7" t="s">
        <v>465</v>
      </c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8.75" customHeight="1" x14ac:dyDescent="0.35">
      <c r="A11" s="10" t="s">
        <v>492</v>
      </c>
      <c r="B11" s="104" t="s">
        <v>187</v>
      </c>
      <c r="C11" s="97" t="s">
        <v>419</v>
      </c>
      <c r="D11" s="11"/>
      <c r="E11" s="1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81.75" customHeight="1" x14ac:dyDescent="0.35">
      <c r="A12" s="7" t="s">
        <v>493</v>
      </c>
      <c r="B12" s="104" t="s">
        <v>188</v>
      </c>
      <c r="C12" s="10" t="s">
        <v>420</v>
      </c>
      <c r="D12" s="10" t="s">
        <v>468</v>
      </c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63" customHeight="1" x14ac:dyDescent="0.35">
      <c r="A13" s="7" t="s">
        <v>494</v>
      </c>
      <c r="B13" s="104" t="s">
        <v>189</v>
      </c>
      <c r="C13" s="10" t="s">
        <v>407</v>
      </c>
      <c r="D13" s="10" t="s">
        <v>468</v>
      </c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7.25" customHeight="1" x14ac:dyDescent="0.3">
      <c r="A14" s="16" t="s">
        <v>470</v>
      </c>
      <c r="B14" s="104" t="s">
        <v>238</v>
      </c>
      <c r="C14" s="17"/>
      <c r="D14" s="8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7.25" customHeight="1" x14ac:dyDescent="0.35">
      <c r="A15" s="10" t="s">
        <v>471</v>
      </c>
      <c r="B15" s="104" t="s">
        <v>180</v>
      </c>
      <c r="C15" s="7" t="s">
        <v>461</v>
      </c>
      <c r="D15" s="7" t="s">
        <v>472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4.25" customHeight="1" x14ac:dyDescent="0.35">
      <c r="A16" s="10" t="s">
        <v>473</v>
      </c>
      <c r="B16" s="104" t="s">
        <v>181</v>
      </c>
      <c r="C16" s="7" t="s">
        <v>495</v>
      </c>
      <c r="D16" s="106" t="s">
        <v>474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1.5" customHeight="1" x14ac:dyDescent="0.35">
      <c r="A17" s="7" t="s">
        <v>475</v>
      </c>
      <c r="B17" s="104" t="s">
        <v>182</v>
      </c>
      <c r="C17" s="7" t="s">
        <v>407</v>
      </c>
      <c r="D17" s="7" t="s">
        <v>468</v>
      </c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7.25" customHeight="1" x14ac:dyDescent="0.35">
      <c r="A18" s="7" t="s">
        <v>476</v>
      </c>
      <c r="B18" s="104" t="s">
        <v>183</v>
      </c>
      <c r="C18" s="10" t="s">
        <v>408</v>
      </c>
      <c r="D18" s="10" t="s">
        <v>477</v>
      </c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7.25" customHeight="1" x14ac:dyDescent="0.3">
      <c r="A19" s="5" t="s">
        <v>478</v>
      </c>
      <c r="B19" s="104" t="s">
        <v>449</v>
      </c>
      <c r="C19" s="18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0.75" customHeight="1" x14ac:dyDescent="0.3">
      <c r="A20" s="20" t="s">
        <v>208</v>
      </c>
      <c r="B20" s="104" t="s">
        <v>190</v>
      </c>
      <c r="C20" s="21" t="s">
        <v>209</v>
      </c>
      <c r="D20" s="20" t="s">
        <v>210</v>
      </c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71.25" customHeight="1" x14ac:dyDescent="0.3">
      <c r="A21" s="19" t="s">
        <v>497</v>
      </c>
      <c r="B21" s="104" t="s">
        <v>191</v>
      </c>
      <c r="C21" s="19" t="s">
        <v>421</v>
      </c>
      <c r="D21" s="20" t="s">
        <v>477</v>
      </c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60" customHeight="1" x14ac:dyDescent="0.3">
      <c r="A22" s="19" t="s">
        <v>498</v>
      </c>
      <c r="B22" s="104" t="s">
        <v>206</v>
      </c>
      <c r="C22" s="20" t="s">
        <v>399</v>
      </c>
      <c r="D22" s="20" t="s">
        <v>477</v>
      </c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60" customHeight="1" x14ac:dyDescent="0.3">
      <c r="A23" s="19" t="s">
        <v>499</v>
      </c>
      <c r="B23" s="104" t="s">
        <v>207</v>
      </c>
      <c r="C23" s="110" t="s">
        <v>400</v>
      </c>
      <c r="D23" s="20" t="s">
        <v>477</v>
      </c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63.75" customHeight="1" x14ac:dyDescent="0.25">
      <c r="A24" s="5" t="s">
        <v>212</v>
      </c>
      <c r="B24" s="104" t="s">
        <v>445</v>
      </c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81" customHeight="1" x14ac:dyDescent="0.3">
      <c r="A25" s="10" t="s">
        <v>235</v>
      </c>
      <c r="B25" s="104" t="s">
        <v>192</v>
      </c>
      <c r="C25" s="116"/>
      <c r="D25" s="11"/>
      <c r="E25" s="1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0" customHeight="1" x14ac:dyDescent="0.35">
      <c r="A26" s="127" t="s">
        <v>501</v>
      </c>
      <c r="B26" s="104" t="s">
        <v>193</v>
      </c>
      <c r="C26" s="24" t="s">
        <v>233</v>
      </c>
      <c r="D26" s="110" t="s">
        <v>175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.75" customHeight="1" x14ac:dyDescent="0.25">
      <c r="A27" s="127" t="s">
        <v>502</v>
      </c>
      <c r="B27" s="104" t="s">
        <v>194</v>
      </c>
      <c r="C27" s="118" t="s">
        <v>234</v>
      </c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07.25" customHeight="1" x14ac:dyDescent="0.35">
      <c r="A28" s="7" t="s">
        <v>237</v>
      </c>
      <c r="B28" s="104" t="s">
        <v>197</v>
      </c>
      <c r="C28" s="119"/>
      <c r="D28" s="10"/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1" x14ac:dyDescent="0.35">
      <c r="A29" s="7" t="s">
        <v>501</v>
      </c>
      <c r="B29" s="104" t="s">
        <v>198</v>
      </c>
      <c r="C29" s="98" t="s">
        <v>415</v>
      </c>
      <c r="D29" s="10" t="s">
        <v>477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1" x14ac:dyDescent="0.35">
      <c r="A30" s="7" t="s">
        <v>502</v>
      </c>
      <c r="B30" s="104" t="s">
        <v>199</v>
      </c>
      <c r="C30" s="98" t="s">
        <v>415</v>
      </c>
      <c r="D30" s="10" t="s">
        <v>477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51.75" customHeight="1" x14ac:dyDescent="0.3">
      <c r="A31" s="16" t="s">
        <v>483</v>
      </c>
      <c r="B31" s="104" t="s">
        <v>444</v>
      </c>
      <c r="C31" s="17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4.5" customHeight="1" x14ac:dyDescent="0.35">
      <c r="A32" s="10" t="s">
        <v>484</v>
      </c>
      <c r="B32" s="104" t="s">
        <v>202</v>
      </c>
      <c r="C32" s="22" t="s">
        <v>211</v>
      </c>
      <c r="D32" s="10" t="s">
        <v>179</v>
      </c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47.25" customHeight="1" x14ac:dyDescent="0.35">
      <c r="A33" s="7" t="s">
        <v>503</v>
      </c>
      <c r="B33" s="104" t="s">
        <v>203</v>
      </c>
      <c r="C33" s="98" t="s">
        <v>416</v>
      </c>
      <c r="D33" s="10" t="s">
        <v>477</v>
      </c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1.5" customHeight="1" x14ac:dyDescent="0.35">
      <c r="A34" s="7" t="s">
        <v>504</v>
      </c>
      <c r="B34" s="104" t="s">
        <v>204</v>
      </c>
      <c r="C34" s="102" t="s">
        <v>417</v>
      </c>
      <c r="D34" s="10" t="s">
        <v>477</v>
      </c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3" customHeight="1" x14ac:dyDescent="0.35">
      <c r="A35" s="7" t="s">
        <v>505</v>
      </c>
      <c r="B35" s="104" t="s">
        <v>205</v>
      </c>
      <c r="C35" s="98" t="s">
        <v>418</v>
      </c>
      <c r="D35" s="10" t="s">
        <v>477</v>
      </c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5" type="noConversion"/>
  <pageMargins left="0.7" right="0.7" top="0.75" bottom="0.75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7210" r:id="rId4">
          <objectPr defaultSize="0" r:id="rId5">
            <anchor moveWithCells="1" sizeWithCells="1">
              <from>
                <xdr:col>2</xdr:col>
                <xdr:colOff>336550</xdr:colOff>
                <xdr:row>5</xdr:row>
                <xdr:rowOff>254000</xdr:rowOff>
              </from>
              <to>
                <xdr:col>2</xdr:col>
                <xdr:colOff>2438400</xdr:colOff>
                <xdr:row>5</xdr:row>
                <xdr:rowOff>831850</xdr:rowOff>
              </to>
            </anchor>
          </objectPr>
        </oleObject>
      </mc:Choice>
      <mc:Fallback>
        <oleObject progId="Equation.3" shapeId="7210" r:id="rId4"/>
      </mc:Fallback>
    </mc:AlternateContent>
    <mc:AlternateContent xmlns:mc="http://schemas.openxmlformats.org/markup-compatibility/2006">
      <mc:Choice Requires="x14">
        <oleObject progId="Equation.3" shapeId="7211" r:id="rId6">
          <objectPr defaultSize="0" autoPict="0" r:id="rId7">
            <anchor moveWithCells="1" sizeWithCells="1">
              <from>
                <xdr:col>2</xdr:col>
                <xdr:colOff>793750</xdr:colOff>
                <xdr:row>6</xdr:row>
                <xdr:rowOff>6350</xdr:rowOff>
              </from>
              <to>
                <xdr:col>2</xdr:col>
                <xdr:colOff>1987550</xdr:colOff>
                <xdr:row>7</xdr:row>
                <xdr:rowOff>44450</xdr:rowOff>
              </to>
            </anchor>
          </objectPr>
        </oleObject>
      </mc:Choice>
      <mc:Fallback>
        <oleObject progId="Equation.3" shapeId="7211" r:id="rId6"/>
      </mc:Fallback>
    </mc:AlternateContent>
    <mc:AlternateContent xmlns:mc="http://schemas.openxmlformats.org/markup-compatibility/2006">
      <mc:Choice Requires="x14">
        <oleObject progId="Equation.3" shapeId="7212" r:id="rId8">
          <objectPr defaultSize="0" autoPict="0" r:id="rId9">
            <anchor moveWithCells="1" sizeWithCells="1">
              <from>
                <xdr:col>2</xdr:col>
                <xdr:colOff>990600</xdr:colOff>
                <xdr:row>8</xdr:row>
                <xdr:rowOff>31750</xdr:rowOff>
              </from>
              <to>
                <xdr:col>2</xdr:col>
                <xdr:colOff>1828800</xdr:colOff>
                <xdr:row>8</xdr:row>
                <xdr:rowOff>495300</xdr:rowOff>
              </to>
            </anchor>
          </objectPr>
        </oleObject>
      </mc:Choice>
      <mc:Fallback>
        <oleObject progId="Equation.3" shapeId="7212" r:id="rId8"/>
      </mc:Fallback>
    </mc:AlternateContent>
    <mc:AlternateContent xmlns:mc="http://schemas.openxmlformats.org/markup-compatibility/2006">
      <mc:Choice Requires="x14">
        <oleObject progId="Equation.3" shapeId="7213" r:id="rId10">
          <objectPr defaultSize="0" autoPict="0" r:id="rId11">
            <anchor moveWithCells="1" sizeWithCells="1">
              <from>
                <xdr:col>2</xdr:col>
                <xdr:colOff>546100</xdr:colOff>
                <xdr:row>10</xdr:row>
                <xdr:rowOff>0</xdr:rowOff>
              </from>
              <to>
                <xdr:col>2</xdr:col>
                <xdr:colOff>2552700</xdr:colOff>
                <xdr:row>10</xdr:row>
                <xdr:rowOff>571500</xdr:rowOff>
              </to>
            </anchor>
          </objectPr>
        </oleObject>
      </mc:Choice>
      <mc:Fallback>
        <oleObject progId="Equation.3" shapeId="7213" r:id="rId10"/>
      </mc:Fallback>
    </mc:AlternateContent>
    <mc:AlternateContent xmlns:mc="http://schemas.openxmlformats.org/markup-compatibility/2006">
      <mc:Choice Requires="x14">
        <oleObject progId="Equation.3" shapeId="7214" r:id="rId12">
          <objectPr defaultSize="0" autoPict="0" r:id="rId13">
            <anchor moveWithCells="1" sizeWithCells="1">
              <from>
                <xdr:col>2</xdr:col>
                <xdr:colOff>1016000</xdr:colOff>
                <xdr:row>13</xdr:row>
                <xdr:rowOff>50800</xdr:rowOff>
              </from>
              <to>
                <xdr:col>2</xdr:col>
                <xdr:colOff>1949450</xdr:colOff>
                <xdr:row>13</xdr:row>
                <xdr:rowOff>520700</xdr:rowOff>
              </to>
            </anchor>
          </objectPr>
        </oleObject>
      </mc:Choice>
      <mc:Fallback>
        <oleObject progId="Equation.3" shapeId="7214" r:id="rId12"/>
      </mc:Fallback>
    </mc:AlternateContent>
    <mc:AlternateContent xmlns:mc="http://schemas.openxmlformats.org/markup-compatibility/2006">
      <mc:Choice Requires="x14">
        <oleObject progId="Equation.3" shapeId="7215" r:id="rId14">
          <objectPr defaultSize="0" autoPict="0" r:id="rId15">
            <anchor moveWithCells="1" sizeWithCells="1">
              <from>
                <xdr:col>2</xdr:col>
                <xdr:colOff>793750</xdr:colOff>
                <xdr:row>15</xdr:row>
                <xdr:rowOff>25400</xdr:rowOff>
              </from>
              <to>
                <xdr:col>2</xdr:col>
                <xdr:colOff>1917700</xdr:colOff>
                <xdr:row>15</xdr:row>
                <xdr:rowOff>508000</xdr:rowOff>
              </to>
            </anchor>
          </objectPr>
        </oleObject>
      </mc:Choice>
      <mc:Fallback>
        <oleObject progId="Equation.3" shapeId="7215" r:id="rId14"/>
      </mc:Fallback>
    </mc:AlternateContent>
    <mc:AlternateContent xmlns:mc="http://schemas.openxmlformats.org/markup-compatibility/2006">
      <mc:Choice Requires="x14">
        <oleObject progId="Equation.3" shapeId="7216" r:id="rId16">
          <objectPr defaultSize="0" r:id="rId17">
            <anchor moveWithCells="1" sizeWithCells="1">
              <from>
                <xdr:col>2</xdr:col>
                <xdr:colOff>571500</xdr:colOff>
                <xdr:row>18</xdr:row>
                <xdr:rowOff>6350</xdr:rowOff>
              </from>
              <to>
                <xdr:col>2</xdr:col>
                <xdr:colOff>2216150</xdr:colOff>
                <xdr:row>18</xdr:row>
                <xdr:rowOff>584200</xdr:rowOff>
              </to>
            </anchor>
          </objectPr>
        </oleObject>
      </mc:Choice>
      <mc:Fallback>
        <oleObject progId="Equation.3" shapeId="7216" r:id="rId16"/>
      </mc:Fallback>
    </mc:AlternateContent>
    <mc:AlternateContent xmlns:mc="http://schemas.openxmlformats.org/markup-compatibility/2006">
      <mc:Choice Requires="x14">
        <oleObject progId="Equation.3" shapeId="7217" r:id="rId18">
          <objectPr defaultSize="0" r:id="rId19">
            <anchor moveWithCells="1" sizeWithCells="1">
              <from>
                <xdr:col>2</xdr:col>
                <xdr:colOff>406400</xdr:colOff>
                <xdr:row>19</xdr:row>
                <xdr:rowOff>139700</xdr:rowOff>
              </from>
              <to>
                <xdr:col>2</xdr:col>
                <xdr:colOff>2260600</xdr:colOff>
                <xdr:row>19</xdr:row>
                <xdr:rowOff>469900</xdr:rowOff>
              </to>
            </anchor>
          </objectPr>
        </oleObject>
      </mc:Choice>
      <mc:Fallback>
        <oleObject progId="Equation.3" shapeId="7217" r:id="rId18"/>
      </mc:Fallback>
    </mc:AlternateContent>
    <mc:AlternateContent xmlns:mc="http://schemas.openxmlformats.org/markup-compatibility/2006">
      <mc:Choice Requires="x14">
        <oleObject progId="Equation.3" shapeId="7218" r:id="rId20">
          <objectPr defaultSize="0" r:id="rId21">
            <anchor moveWithCells="1" sizeWithCells="1">
              <from>
                <xdr:col>2</xdr:col>
                <xdr:colOff>730250</xdr:colOff>
                <xdr:row>30</xdr:row>
                <xdr:rowOff>69850</xdr:rowOff>
              </from>
              <to>
                <xdr:col>2</xdr:col>
                <xdr:colOff>2203450</xdr:colOff>
                <xdr:row>30</xdr:row>
                <xdr:rowOff>647700</xdr:rowOff>
              </to>
            </anchor>
          </objectPr>
        </oleObject>
      </mc:Choice>
      <mc:Fallback>
        <oleObject progId="Equation.3" shapeId="7218" r:id="rId20"/>
      </mc:Fallback>
    </mc:AlternateContent>
    <mc:AlternateContent xmlns:mc="http://schemas.openxmlformats.org/markup-compatibility/2006">
      <mc:Choice Requires="x14">
        <oleObject progId="Equation.3" shapeId="7219" r:id="rId22">
          <objectPr defaultSize="0" autoPict="0" r:id="rId23">
            <anchor moveWithCells="1" sizeWithCells="1">
              <from>
                <xdr:col>2</xdr:col>
                <xdr:colOff>762000</xdr:colOff>
                <xdr:row>31</xdr:row>
                <xdr:rowOff>82550</xdr:rowOff>
              </from>
              <to>
                <xdr:col>2</xdr:col>
                <xdr:colOff>2597150</xdr:colOff>
                <xdr:row>31</xdr:row>
                <xdr:rowOff>330200</xdr:rowOff>
              </to>
            </anchor>
          </objectPr>
        </oleObject>
      </mc:Choice>
      <mc:Fallback>
        <oleObject progId="Equation.3" shapeId="7219" r:id="rId22"/>
      </mc:Fallback>
    </mc:AlternateContent>
    <mc:AlternateContent xmlns:mc="http://schemas.openxmlformats.org/markup-compatibility/2006">
      <mc:Choice Requires="x14">
        <oleObject progId="Equation.3" shapeId="7220" r:id="rId24">
          <objectPr defaultSize="0" autoPict="0" r:id="rId25">
            <anchor moveWithCells="1" sizeWithCells="1">
              <from>
                <xdr:col>2</xdr:col>
                <xdr:colOff>749300</xdr:colOff>
                <xdr:row>23</xdr:row>
                <xdr:rowOff>6350</xdr:rowOff>
              </from>
              <to>
                <xdr:col>2</xdr:col>
                <xdr:colOff>2432050</xdr:colOff>
                <xdr:row>23</xdr:row>
                <xdr:rowOff>571500</xdr:rowOff>
              </to>
            </anchor>
          </objectPr>
        </oleObject>
      </mc:Choice>
      <mc:Fallback>
        <oleObject progId="Equation.3" shapeId="7220" r:id="rId24"/>
      </mc:Fallback>
    </mc:AlternateContent>
    <mc:AlternateContent xmlns:mc="http://schemas.openxmlformats.org/markup-compatibility/2006">
      <mc:Choice Requires="x14">
        <oleObject progId="Equation.3" shapeId="7221" r:id="rId26">
          <objectPr defaultSize="0" r:id="rId27">
            <anchor moveWithCells="1" sizeWithCells="1">
              <from>
                <xdr:col>2</xdr:col>
                <xdr:colOff>679450</xdr:colOff>
                <xdr:row>24</xdr:row>
                <xdr:rowOff>260350</xdr:rowOff>
              </from>
              <to>
                <xdr:col>2</xdr:col>
                <xdr:colOff>2362200</xdr:colOff>
                <xdr:row>24</xdr:row>
                <xdr:rowOff>825500</xdr:rowOff>
              </to>
            </anchor>
          </objectPr>
        </oleObject>
      </mc:Choice>
      <mc:Fallback>
        <oleObject progId="Equation.3" shapeId="7221" r:id="rId26"/>
      </mc:Fallback>
    </mc:AlternateContent>
    <mc:AlternateContent xmlns:mc="http://schemas.openxmlformats.org/markup-compatibility/2006">
      <mc:Choice Requires="x14">
        <oleObject progId="Equation.3" shapeId="7222" r:id="rId28">
          <objectPr defaultSize="0" r:id="rId29">
            <anchor moveWithCells="1" sizeWithCells="1">
              <from>
                <xdr:col>2</xdr:col>
                <xdr:colOff>444500</xdr:colOff>
                <xdr:row>25</xdr:row>
                <xdr:rowOff>25400</xdr:rowOff>
              </from>
              <to>
                <xdr:col>2</xdr:col>
                <xdr:colOff>2298700</xdr:colOff>
                <xdr:row>25</xdr:row>
                <xdr:rowOff>355600</xdr:rowOff>
              </to>
            </anchor>
          </objectPr>
        </oleObject>
      </mc:Choice>
      <mc:Fallback>
        <oleObject progId="Equation.3" shapeId="7222" r:id="rId28"/>
      </mc:Fallback>
    </mc:AlternateContent>
    <mc:AlternateContent xmlns:mc="http://schemas.openxmlformats.org/markup-compatibility/2006">
      <mc:Choice Requires="x14">
        <oleObject progId="Equation.3" shapeId="7223" r:id="rId30">
          <objectPr defaultSize="0" r:id="rId31">
            <anchor moveWithCells="1" sizeWithCells="1">
              <from>
                <xdr:col>2</xdr:col>
                <xdr:colOff>679450</xdr:colOff>
                <xdr:row>27</xdr:row>
                <xdr:rowOff>260350</xdr:rowOff>
              </from>
              <to>
                <xdr:col>2</xdr:col>
                <xdr:colOff>2362200</xdr:colOff>
                <xdr:row>27</xdr:row>
                <xdr:rowOff>825500</xdr:rowOff>
              </to>
            </anchor>
          </objectPr>
        </oleObject>
      </mc:Choice>
      <mc:Fallback>
        <oleObject progId="Equation.3" shapeId="7223" r:id="rId3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Y1002"/>
  <sheetViews>
    <sheetView topLeftCell="A28" zoomScaleNormal="100" workbookViewId="0">
      <selection activeCell="C6" sqref="C6"/>
    </sheetView>
  </sheetViews>
  <sheetFormatPr defaultColWidth="12.54296875" defaultRowHeight="15" customHeight="1" x14ac:dyDescent="0.25"/>
  <cols>
    <col min="1" max="1" width="30.90625" customWidth="1"/>
    <col min="2" max="2" width="10.08984375" customWidth="1"/>
    <col min="3" max="3" width="37.6328125" customWidth="1"/>
    <col min="4" max="4" width="21.453125" customWidth="1"/>
    <col min="5" max="5" width="15" customWidth="1"/>
    <col min="6" max="6" width="8" customWidth="1"/>
    <col min="7" max="25" width="7" customWidth="1"/>
    <col min="26" max="26" width="11" customWidth="1"/>
  </cols>
  <sheetData>
    <row r="1" spans="1:25" ht="15.75" customHeight="1" x14ac:dyDescent="0.25">
      <c r="A1" s="1"/>
      <c r="B1" s="1"/>
      <c r="C1" s="1"/>
      <c r="D1" s="26" t="s">
        <v>253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customHeight="1" x14ac:dyDescent="0.25">
      <c r="A3" s="3" t="s">
        <v>326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5" customHeight="1" x14ac:dyDescent="0.25">
      <c r="A5" s="4" t="s">
        <v>452</v>
      </c>
      <c r="B5" s="5" t="s">
        <v>506</v>
      </c>
      <c r="C5" s="4" t="s">
        <v>454</v>
      </c>
      <c r="D5" s="4" t="s">
        <v>455</v>
      </c>
      <c r="E5" s="4" t="s">
        <v>456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7.5" customHeight="1" x14ac:dyDescent="0.35">
      <c r="A6" s="6" t="s">
        <v>507</v>
      </c>
      <c r="B6" s="104" t="s">
        <v>375</v>
      </c>
      <c r="C6" s="27"/>
      <c r="D6" s="134" t="s">
        <v>366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78.75" customHeight="1" x14ac:dyDescent="0.35">
      <c r="A7" s="8" t="s">
        <v>508</v>
      </c>
      <c r="B7" s="104" t="s">
        <v>383</v>
      </c>
      <c r="C7" s="28"/>
      <c r="D7" s="7" t="s">
        <v>509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7.25" customHeight="1" x14ac:dyDescent="0.25">
      <c r="A8" s="29" t="s">
        <v>510</v>
      </c>
      <c r="B8" s="104" t="s">
        <v>376</v>
      </c>
      <c r="C8" s="10" t="s">
        <v>461</v>
      </c>
      <c r="D8" s="10" t="s">
        <v>472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7.5" customHeight="1" x14ac:dyDescent="0.35">
      <c r="A9" s="10" t="s">
        <v>511</v>
      </c>
      <c r="B9" s="104" t="s">
        <v>377</v>
      </c>
      <c r="C9" s="135" t="s">
        <v>512</v>
      </c>
      <c r="D9" s="29" t="s">
        <v>513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63" customHeight="1" x14ac:dyDescent="0.35">
      <c r="A10" s="7" t="s">
        <v>514</v>
      </c>
      <c r="B10" s="104" t="s">
        <v>378</v>
      </c>
      <c r="C10" s="7" t="s">
        <v>465</v>
      </c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02.5" customHeight="1" x14ac:dyDescent="0.35">
      <c r="A11" s="10" t="s">
        <v>515</v>
      </c>
      <c r="B11" s="104" t="s">
        <v>379</v>
      </c>
      <c r="C11" s="7" t="s">
        <v>384</v>
      </c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78.75" customHeight="1" x14ac:dyDescent="0.35">
      <c r="A12" s="7" t="s">
        <v>385</v>
      </c>
      <c r="B12" s="104" t="s">
        <v>380</v>
      </c>
      <c r="C12" s="10" t="s">
        <v>406</v>
      </c>
      <c r="D12" s="10" t="s">
        <v>468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7.25" customHeight="1" x14ac:dyDescent="0.35">
      <c r="A13" s="7" t="s">
        <v>517</v>
      </c>
      <c r="B13" s="104" t="s">
        <v>381</v>
      </c>
      <c r="C13" s="10" t="s">
        <v>407</v>
      </c>
      <c r="D13" s="10" t="s">
        <v>468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9.75" customHeight="1" x14ac:dyDescent="0.35">
      <c r="A14" s="10" t="s">
        <v>518</v>
      </c>
      <c r="B14" s="104" t="s">
        <v>382</v>
      </c>
      <c r="C14" s="7" t="s">
        <v>387</v>
      </c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66" customHeight="1" x14ac:dyDescent="0.3">
      <c r="A15" s="8" t="s">
        <v>386</v>
      </c>
      <c r="B15" s="104" t="s">
        <v>390</v>
      </c>
      <c r="C15" s="30"/>
      <c r="D15" s="8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7.25" customHeight="1" x14ac:dyDescent="0.35">
      <c r="A16" s="7" t="s">
        <v>519</v>
      </c>
      <c r="B16" s="104" t="s">
        <v>388</v>
      </c>
      <c r="C16" s="10" t="s">
        <v>520</v>
      </c>
      <c r="D16" s="10" t="s">
        <v>472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7.5" customHeight="1" x14ac:dyDescent="0.35">
      <c r="A17" s="10" t="s">
        <v>521</v>
      </c>
      <c r="B17" s="104" t="s">
        <v>389</v>
      </c>
      <c r="C17" s="29" t="s">
        <v>522</v>
      </c>
      <c r="D17" s="7" t="s">
        <v>523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47.25" customHeight="1" x14ac:dyDescent="0.35">
      <c r="A18" s="7" t="s">
        <v>393</v>
      </c>
      <c r="B18" s="104" t="s">
        <v>391</v>
      </c>
      <c r="C18" s="10" t="s">
        <v>407</v>
      </c>
      <c r="D18" s="10" t="s">
        <v>468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78.75" customHeight="1" x14ac:dyDescent="0.35">
      <c r="A19" s="7" t="s">
        <v>525</v>
      </c>
      <c r="B19" s="104" t="s">
        <v>392</v>
      </c>
      <c r="C19" s="10" t="s">
        <v>408</v>
      </c>
      <c r="D19" s="10" t="s">
        <v>477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2.75" customHeight="1" x14ac:dyDescent="0.35">
      <c r="A20" s="10" t="s">
        <v>526</v>
      </c>
      <c r="B20" s="104" t="s">
        <v>394</v>
      </c>
      <c r="C20" s="7" t="s">
        <v>409</v>
      </c>
      <c r="D20" s="1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47.25" customHeight="1" x14ac:dyDescent="0.3">
      <c r="A21" s="8" t="s">
        <v>527</v>
      </c>
      <c r="B21" s="104" t="s">
        <v>396</v>
      </c>
      <c r="C21" s="31"/>
      <c r="D21" s="8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18.5" customHeight="1" x14ac:dyDescent="0.3">
      <c r="A22" s="10" t="s">
        <v>528</v>
      </c>
      <c r="B22" s="104" t="s">
        <v>395</v>
      </c>
      <c r="C22" s="7" t="s">
        <v>422</v>
      </c>
      <c r="D22" s="10" t="s">
        <v>496</v>
      </c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94.5" customHeight="1" x14ac:dyDescent="0.35">
      <c r="A23" s="7" t="s">
        <v>529</v>
      </c>
      <c r="B23" s="104" t="s">
        <v>402</v>
      </c>
      <c r="C23" s="10" t="s">
        <v>397</v>
      </c>
      <c r="D23" s="10" t="s">
        <v>477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94.5" customHeight="1" x14ac:dyDescent="0.35">
      <c r="A24" s="7" t="s">
        <v>398</v>
      </c>
      <c r="B24" s="104" t="s">
        <v>403</v>
      </c>
      <c r="C24" s="10" t="s">
        <v>399</v>
      </c>
      <c r="D24" s="10" t="s">
        <v>477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94.5" customHeight="1" x14ac:dyDescent="0.35">
      <c r="A25" s="7" t="s">
        <v>531</v>
      </c>
      <c r="B25" s="104" t="s">
        <v>404</v>
      </c>
      <c r="C25" s="10" t="s">
        <v>400</v>
      </c>
      <c r="D25" s="10" t="s">
        <v>477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1.75" customHeight="1" x14ac:dyDescent="0.35">
      <c r="A26" s="10" t="s">
        <v>532</v>
      </c>
      <c r="B26" s="104" t="s">
        <v>405</v>
      </c>
      <c r="C26" s="7" t="s">
        <v>401</v>
      </c>
      <c r="D26" s="1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63" customHeight="1" x14ac:dyDescent="0.3">
      <c r="A27" s="16" t="s">
        <v>423</v>
      </c>
      <c r="B27" s="104" t="s">
        <v>424</v>
      </c>
      <c r="D27" s="1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08.5" x14ac:dyDescent="0.3">
      <c r="A28" s="10" t="s">
        <v>432</v>
      </c>
      <c r="B28" s="104" t="s">
        <v>425</v>
      </c>
      <c r="C28" s="116"/>
      <c r="D28" s="1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01.75" customHeight="1" x14ac:dyDescent="0.35">
      <c r="A29" s="127" t="s">
        <v>501</v>
      </c>
      <c r="B29" s="104" t="s">
        <v>426</v>
      </c>
      <c r="C29" s="25" t="s">
        <v>263</v>
      </c>
      <c r="D29" s="110" t="s">
        <v>175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1" x14ac:dyDescent="0.25">
      <c r="A30" s="127" t="s">
        <v>502</v>
      </c>
      <c r="B30" s="104" t="s">
        <v>427</v>
      </c>
      <c r="C30" s="118" t="s">
        <v>428</v>
      </c>
      <c r="D30" s="1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4" x14ac:dyDescent="0.35">
      <c r="A31" s="7" t="s">
        <v>433</v>
      </c>
      <c r="B31" s="104" t="s">
        <v>429</v>
      </c>
      <c r="C31" s="119"/>
      <c r="D31" s="1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1" x14ac:dyDescent="0.25">
      <c r="A32" s="127" t="s">
        <v>501</v>
      </c>
      <c r="B32" s="104" t="s">
        <v>430</v>
      </c>
      <c r="C32" s="98" t="s">
        <v>415</v>
      </c>
      <c r="D32" s="10" t="s">
        <v>477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1" x14ac:dyDescent="0.25">
      <c r="A33" s="127" t="s">
        <v>502</v>
      </c>
      <c r="B33" s="104" t="s">
        <v>431</v>
      </c>
      <c r="C33" s="98" t="s">
        <v>415</v>
      </c>
      <c r="D33" s="10" t="s">
        <v>477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6" customHeight="1" x14ac:dyDescent="0.35">
      <c r="A34" s="10" t="s">
        <v>534</v>
      </c>
      <c r="B34" s="104" t="s">
        <v>434</v>
      </c>
      <c r="C34" s="7" t="s">
        <v>535</v>
      </c>
      <c r="D34" s="1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3" customHeight="1" x14ac:dyDescent="0.3">
      <c r="A35" s="16" t="s">
        <v>536</v>
      </c>
      <c r="B35" s="104" t="s">
        <v>435</v>
      </c>
      <c r="C35" s="32"/>
      <c r="D35" s="11"/>
      <c r="F35" s="1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9.75" customHeight="1" x14ac:dyDescent="0.35">
      <c r="A36" s="10" t="s">
        <v>537</v>
      </c>
      <c r="B36" s="104" t="s">
        <v>436</v>
      </c>
      <c r="C36" s="33" t="s">
        <v>443</v>
      </c>
      <c r="D36" s="10" t="s">
        <v>442</v>
      </c>
      <c r="F36" s="2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47.25" customHeight="1" x14ac:dyDescent="0.35">
      <c r="A37" s="7" t="s">
        <v>538</v>
      </c>
      <c r="B37" s="104" t="s">
        <v>437</v>
      </c>
      <c r="C37" s="10" t="s">
        <v>416</v>
      </c>
      <c r="D37" s="10" t="s">
        <v>477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47.25" customHeight="1" x14ac:dyDescent="0.35">
      <c r="A38" s="7" t="s">
        <v>539</v>
      </c>
      <c r="B38" s="104" t="s">
        <v>438</v>
      </c>
      <c r="C38" s="29" t="s">
        <v>417</v>
      </c>
      <c r="D38" s="10" t="s">
        <v>477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78.75" customHeight="1" x14ac:dyDescent="0.35">
      <c r="A39" s="7" t="s">
        <v>440</v>
      </c>
      <c r="B39" s="104" t="s">
        <v>439</v>
      </c>
      <c r="C39" s="10" t="s">
        <v>418</v>
      </c>
      <c r="D39" s="10" t="s">
        <v>477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6" customHeight="1" x14ac:dyDescent="0.35">
      <c r="A40" s="10" t="s">
        <v>541</v>
      </c>
      <c r="B40" s="104" t="s">
        <v>441</v>
      </c>
      <c r="C40" s="7" t="s">
        <v>533</v>
      </c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honeticPr fontId="35" type="noConversion"/>
  <pageMargins left="0.7" right="0.7" top="0.75" bottom="0.75" header="0" footer="0"/>
  <pageSetup scale="92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239" r:id="rId4">
          <objectPr defaultSize="0" r:id="rId5">
            <anchor moveWithCells="1" sizeWithCells="1">
              <from>
                <xdr:col>2</xdr:col>
                <xdr:colOff>177800</xdr:colOff>
                <xdr:row>5</xdr:row>
                <xdr:rowOff>660400</xdr:rowOff>
              </from>
              <to>
                <xdr:col>2</xdr:col>
                <xdr:colOff>2286000</xdr:colOff>
                <xdr:row>5</xdr:row>
                <xdr:rowOff>1257300</xdr:rowOff>
              </to>
            </anchor>
          </objectPr>
        </oleObject>
      </mc:Choice>
      <mc:Fallback>
        <oleObject progId="Equation.3" shapeId="8239" r:id="rId4"/>
      </mc:Fallback>
    </mc:AlternateContent>
    <mc:AlternateContent xmlns:mc="http://schemas.openxmlformats.org/markup-compatibility/2006">
      <mc:Choice Requires="x14">
        <oleObject progId="Equation.3" shapeId="8240" r:id="rId6">
          <objectPr defaultSize="0" r:id="rId7">
            <anchor moveWithCells="1" sizeWithCells="1">
              <from>
                <xdr:col>2</xdr:col>
                <xdr:colOff>241300</xdr:colOff>
                <xdr:row>6</xdr:row>
                <xdr:rowOff>158750</xdr:rowOff>
              </from>
              <to>
                <xdr:col>2</xdr:col>
                <xdr:colOff>2082800</xdr:colOff>
                <xdr:row>6</xdr:row>
                <xdr:rowOff>800100</xdr:rowOff>
              </to>
            </anchor>
          </objectPr>
        </oleObject>
      </mc:Choice>
      <mc:Fallback>
        <oleObject progId="Equation.3" shapeId="8240" r:id="rId6"/>
      </mc:Fallback>
    </mc:AlternateContent>
    <mc:AlternateContent xmlns:mc="http://schemas.openxmlformats.org/markup-compatibility/2006">
      <mc:Choice Requires="x14">
        <oleObject progId="Equation.3" shapeId="8242" r:id="rId8">
          <objectPr defaultSize="0" r:id="rId9">
            <anchor moveWithCells="1" sizeWithCells="1">
              <from>
                <xdr:col>2</xdr:col>
                <xdr:colOff>546100</xdr:colOff>
                <xdr:row>8</xdr:row>
                <xdr:rowOff>184150</xdr:rowOff>
              </from>
              <to>
                <xdr:col>2</xdr:col>
                <xdr:colOff>1866900</xdr:colOff>
                <xdr:row>8</xdr:row>
                <xdr:rowOff>774700</xdr:rowOff>
              </to>
            </anchor>
          </objectPr>
        </oleObject>
      </mc:Choice>
      <mc:Fallback>
        <oleObject progId="Equation.3" shapeId="8242" r:id="rId8"/>
      </mc:Fallback>
    </mc:AlternateContent>
    <mc:AlternateContent xmlns:mc="http://schemas.openxmlformats.org/markup-compatibility/2006">
      <mc:Choice Requires="x14">
        <oleObject progId="Equation.3" shapeId="8243" r:id="rId10">
          <objectPr defaultSize="0" r:id="rId11">
            <anchor moveWithCells="1" sizeWithCells="1">
              <from>
                <xdr:col>2</xdr:col>
                <xdr:colOff>349250</xdr:colOff>
                <xdr:row>10</xdr:row>
                <xdr:rowOff>0</xdr:rowOff>
              </from>
              <to>
                <xdr:col>2</xdr:col>
                <xdr:colOff>2355850</xdr:colOff>
                <xdr:row>10</xdr:row>
                <xdr:rowOff>596900</xdr:rowOff>
              </to>
            </anchor>
          </objectPr>
        </oleObject>
      </mc:Choice>
      <mc:Fallback>
        <oleObject progId="Equation.3" shapeId="8243" r:id="rId10"/>
      </mc:Fallback>
    </mc:AlternateContent>
    <mc:AlternateContent xmlns:mc="http://schemas.openxmlformats.org/markup-compatibility/2006">
      <mc:Choice Requires="x14">
        <oleObject progId="Equation.3" shapeId="8244" r:id="rId12">
          <objectPr defaultSize="0" r:id="rId13">
            <anchor moveWithCells="1" sizeWithCells="1">
              <from>
                <xdr:col>2</xdr:col>
                <xdr:colOff>292100</xdr:colOff>
                <xdr:row>14</xdr:row>
                <xdr:rowOff>139700</xdr:rowOff>
              </from>
              <to>
                <xdr:col>2</xdr:col>
                <xdr:colOff>2139950</xdr:colOff>
                <xdr:row>14</xdr:row>
                <xdr:rowOff>717550</xdr:rowOff>
              </to>
            </anchor>
          </objectPr>
        </oleObject>
      </mc:Choice>
      <mc:Fallback>
        <oleObject progId="Equation.3" shapeId="8244" r:id="rId12"/>
      </mc:Fallback>
    </mc:AlternateContent>
    <mc:AlternateContent xmlns:mc="http://schemas.openxmlformats.org/markup-compatibility/2006">
      <mc:Choice Requires="x14">
        <oleObject progId="Equation.3" shapeId="8245" r:id="rId14">
          <objectPr defaultSize="0" autoPict="0" r:id="rId15">
            <anchor moveWithCells="1" sizeWithCells="1">
              <from>
                <xdr:col>2</xdr:col>
                <xdr:colOff>501650</xdr:colOff>
                <xdr:row>16</xdr:row>
                <xdr:rowOff>31750</xdr:rowOff>
              </from>
              <to>
                <xdr:col>2</xdr:col>
                <xdr:colOff>1631950</xdr:colOff>
                <xdr:row>16</xdr:row>
                <xdr:rowOff>565150</xdr:rowOff>
              </to>
            </anchor>
          </objectPr>
        </oleObject>
      </mc:Choice>
      <mc:Fallback>
        <oleObject progId="Equation.3" shapeId="8245" r:id="rId14"/>
      </mc:Fallback>
    </mc:AlternateContent>
    <mc:AlternateContent xmlns:mc="http://schemas.openxmlformats.org/markup-compatibility/2006">
      <mc:Choice Requires="x14">
        <oleObject progId="Equation.3" shapeId="8246" r:id="rId16">
          <objectPr defaultSize="0" r:id="rId17">
            <anchor moveWithCells="1" sizeWithCells="1">
              <from>
                <xdr:col>2</xdr:col>
                <xdr:colOff>127000</xdr:colOff>
                <xdr:row>20</xdr:row>
                <xdr:rowOff>6350</xdr:rowOff>
              </from>
              <to>
                <xdr:col>2</xdr:col>
                <xdr:colOff>2279650</xdr:colOff>
                <xdr:row>20</xdr:row>
                <xdr:rowOff>584200</xdr:rowOff>
              </to>
            </anchor>
          </objectPr>
        </oleObject>
      </mc:Choice>
      <mc:Fallback>
        <oleObject progId="Equation.3" shapeId="8246" r:id="rId16"/>
      </mc:Fallback>
    </mc:AlternateContent>
    <mc:AlternateContent xmlns:mc="http://schemas.openxmlformats.org/markup-compatibility/2006">
      <mc:Choice Requires="x14">
        <oleObject progId="Equation.3" shapeId="8247" r:id="rId18">
          <objectPr defaultSize="0" autoPict="0" r:id="rId19">
            <anchor moveWithCells="1" sizeWithCells="1">
              <from>
                <xdr:col>2</xdr:col>
                <xdr:colOff>215900</xdr:colOff>
                <xdr:row>21</xdr:row>
                <xdr:rowOff>31750</xdr:rowOff>
              </from>
              <to>
                <xdr:col>2</xdr:col>
                <xdr:colOff>2387600</xdr:colOff>
                <xdr:row>21</xdr:row>
                <xdr:rowOff>457200</xdr:rowOff>
              </to>
            </anchor>
          </objectPr>
        </oleObject>
      </mc:Choice>
      <mc:Fallback>
        <oleObject progId="Equation.3" shapeId="8247" r:id="rId18"/>
      </mc:Fallback>
    </mc:AlternateContent>
    <mc:AlternateContent xmlns:mc="http://schemas.openxmlformats.org/markup-compatibility/2006">
      <mc:Choice Requires="x14">
        <oleObject progId="Equation.3" shapeId="8248" r:id="rId20">
          <objectPr defaultSize="0" r:id="rId21">
            <anchor moveWithCells="1" sizeWithCells="1">
              <from>
                <xdr:col>2</xdr:col>
                <xdr:colOff>184150</xdr:colOff>
                <xdr:row>26</xdr:row>
                <xdr:rowOff>146050</xdr:rowOff>
              </from>
              <to>
                <xdr:col>2</xdr:col>
                <xdr:colOff>2279650</xdr:colOff>
                <xdr:row>26</xdr:row>
                <xdr:rowOff>711200</xdr:rowOff>
              </to>
            </anchor>
          </objectPr>
        </oleObject>
      </mc:Choice>
      <mc:Fallback>
        <oleObject progId="Equation.3" shapeId="8248" r:id="rId20"/>
      </mc:Fallback>
    </mc:AlternateContent>
    <mc:AlternateContent xmlns:mc="http://schemas.openxmlformats.org/markup-compatibility/2006">
      <mc:Choice Requires="x14">
        <oleObject progId="Equation.3" shapeId="8249" r:id="rId22">
          <objectPr defaultSize="0" r:id="rId23">
            <anchor moveWithCells="1" sizeWithCells="1">
              <from>
                <xdr:col>2</xdr:col>
                <xdr:colOff>457200</xdr:colOff>
                <xdr:row>27</xdr:row>
                <xdr:rowOff>355600</xdr:rowOff>
              </from>
              <to>
                <xdr:col>2</xdr:col>
                <xdr:colOff>2139950</xdr:colOff>
                <xdr:row>27</xdr:row>
                <xdr:rowOff>914400</xdr:rowOff>
              </to>
            </anchor>
          </objectPr>
        </oleObject>
      </mc:Choice>
      <mc:Fallback>
        <oleObject progId="Equation.3" shapeId="8249" r:id="rId22"/>
      </mc:Fallback>
    </mc:AlternateContent>
    <mc:AlternateContent xmlns:mc="http://schemas.openxmlformats.org/markup-compatibility/2006">
      <mc:Choice Requires="x14">
        <oleObject progId="Equation.3" shapeId="8250" r:id="rId24">
          <objectPr defaultSize="0" autoPict="0" r:id="rId25">
            <anchor moveWithCells="1" sizeWithCells="1">
              <from>
                <xdr:col>2</xdr:col>
                <xdr:colOff>107950</xdr:colOff>
                <xdr:row>28</xdr:row>
                <xdr:rowOff>63500</xdr:rowOff>
              </from>
              <to>
                <xdr:col>2</xdr:col>
                <xdr:colOff>2355850</xdr:colOff>
                <xdr:row>28</xdr:row>
                <xdr:rowOff>381000</xdr:rowOff>
              </to>
            </anchor>
          </objectPr>
        </oleObject>
      </mc:Choice>
      <mc:Fallback>
        <oleObject progId="Equation.3" shapeId="8250" r:id="rId24"/>
      </mc:Fallback>
    </mc:AlternateContent>
    <mc:AlternateContent xmlns:mc="http://schemas.openxmlformats.org/markup-compatibility/2006">
      <mc:Choice Requires="x14">
        <oleObject progId="Equation.3" shapeId="8251" r:id="rId26">
          <objectPr defaultSize="0" r:id="rId27">
            <anchor moveWithCells="1" sizeWithCells="1">
              <from>
                <xdr:col>2</xdr:col>
                <xdr:colOff>241300</xdr:colOff>
                <xdr:row>30</xdr:row>
                <xdr:rowOff>685800</xdr:rowOff>
              </from>
              <to>
                <xdr:col>2</xdr:col>
                <xdr:colOff>2393950</xdr:colOff>
                <xdr:row>30</xdr:row>
                <xdr:rowOff>1244600</xdr:rowOff>
              </to>
            </anchor>
          </objectPr>
        </oleObject>
      </mc:Choice>
      <mc:Fallback>
        <oleObject progId="Equation.3" shapeId="8251" r:id="rId26"/>
      </mc:Fallback>
    </mc:AlternateContent>
    <mc:AlternateContent xmlns:mc="http://schemas.openxmlformats.org/markup-compatibility/2006">
      <mc:Choice Requires="x14">
        <oleObject progId="Equation.3" shapeId="8252" r:id="rId28">
          <objectPr defaultSize="0" r:id="rId29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Equation.3" shapeId="8252" r:id="rId28"/>
      </mc:Fallback>
    </mc:AlternateContent>
    <mc:AlternateContent xmlns:mc="http://schemas.openxmlformats.org/markup-compatibility/2006">
      <mc:Choice Requires="x14">
        <oleObject progId="Equation.3" shapeId="8253" r:id="rId30">
          <objectPr defaultSize="0" autoPict="0" r:id="rId31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Equation.3" shapeId="8253" r:id="rId30"/>
      </mc:Fallback>
    </mc:AlternateContent>
    <mc:AlternateContent xmlns:mc="http://schemas.openxmlformats.org/markup-compatibility/2006">
      <mc:Choice Requires="x14">
        <oleObject progId="Equation.3" shapeId="8254" r:id="rId32">
          <objectPr defaultSize="0" r:id="rId33">
            <anchor moveWithCells="1" sizeWithCells="1">
              <from>
                <xdr:col>2</xdr:col>
                <xdr:colOff>127000</xdr:colOff>
                <xdr:row>34</xdr:row>
                <xdr:rowOff>114300</xdr:rowOff>
              </from>
              <to>
                <xdr:col>2</xdr:col>
                <xdr:colOff>2368550</xdr:colOff>
                <xdr:row>34</xdr:row>
                <xdr:rowOff>692150</xdr:rowOff>
              </to>
            </anchor>
          </objectPr>
        </oleObject>
      </mc:Choice>
      <mc:Fallback>
        <oleObject progId="Equation.3" shapeId="8254" r:id="rId32"/>
      </mc:Fallback>
    </mc:AlternateContent>
    <mc:AlternateContent xmlns:mc="http://schemas.openxmlformats.org/markup-compatibility/2006">
      <mc:Choice Requires="x14">
        <oleObject progId="Equation.3" shapeId="8255" r:id="rId34">
          <objectPr defaultSize="0" r:id="rId31">
            <anchor moveWithCells="1" sizeWithCells="1">
              <from>
                <xdr:col>2</xdr:col>
                <xdr:colOff>342900</xdr:colOff>
                <xdr:row>35</xdr:row>
                <xdr:rowOff>107950</xdr:rowOff>
              </from>
              <to>
                <xdr:col>2</xdr:col>
                <xdr:colOff>2178050</xdr:colOff>
                <xdr:row>35</xdr:row>
                <xdr:rowOff>349250</xdr:rowOff>
              </to>
            </anchor>
          </objectPr>
        </oleObject>
      </mc:Choice>
      <mc:Fallback>
        <oleObject progId="Equation.3" shapeId="8255" r:id="rId3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X1000"/>
  <sheetViews>
    <sheetView zoomScaleNormal="100" workbookViewId="0">
      <selection activeCell="C9" sqref="C9"/>
    </sheetView>
  </sheetViews>
  <sheetFormatPr defaultColWidth="12.54296875" defaultRowHeight="15" customHeight="1" x14ac:dyDescent="0.25"/>
  <cols>
    <col min="1" max="1" width="28.54296875" customWidth="1"/>
    <col min="2" max="2" width="8.36328125" customWidth="1"/>
    <col min="3" max="3" width="36.453125" customWidth="1"/>
    <col min="4" max="4" width="19.36328125" customWidth="1"/>
    <col min="5" max="6" width="8" customWidth="1"/>
    <col min="7" max="24" width="7" customWidth="1"/>
    <col min="25" max="26" width="11" customWidth="1"/>
  </cols>
  <sheetData>
    <row r="1" spans="1:24" ht="15.75" customHeight="1" x14ac:dyDescent="0.25">
      <c r="A1" s="1"/>
      <c r="B1" s="1"/>
      <c r="C1" s="1"/>
      <c r="D1" s="26" t="s">
        <v>254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 x14ac:dyDescent="0.25">
      <c r="A3" s="3" t="s">
        <v>542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1.5" customHeight="1" x14ac:dyDescent="0.25">
      <c r="A5" s="147" t="s">
        <v>452</v>
      </c>
      <c r="B5" s="149" t="s">
        <v>506</v>
      </c>
      <c r="C5" s="147" t="s">
        <v>454</v>
      </c>
      <c r="D5" s="147" t="s">
        <v>455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94.5" customHeight="1" x14ac:dyDescent="0.25">
      <c r="A6" s="6" t="s">
        <v>543</v>
      </c>
      <c r="B6" s="104" t="s">
        <v>242</v>
      </c>
      <c r="D6" s="10" t="s">
        <v>544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2" customHeight="1" x14ac:dyDescent="0.25">
      <c r="A7" s="34" t="s">
        <v>545</v>
      </c>
      <c r="B7" s="104" t="s">
        <v>257</v>
      </c>
      <c r="C7" s="35"/>
      <c r="D7" s="10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5.75" customHeight="1" x14ac:dyDescent="0.35">
      <c r="A8" s="10" t="s">
        <v>546</v>
      </c>
      <c r="B8" s="104" t="s">
        <v>259</v>
      </c>
      <c r="C8" s="33" t="s">
        <v>369</v>
      </c>
      <c r="D8" s="110" t="s">
        <v>175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0" customHeight="1" x14ac:dyDescent="0.35">
      <c r="A9" s="10" t="s">
        <v>547</v>
      </c>
      <c r="B9" s="104" t="s">
        <v>260</v>
      </c>
      <c r="C9" s="7" t="s">
        <v>370</v>
      </c>
      <c r="D9" s="110" t="s">
        <v>175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5" customHeight="1" x14ac:dyDescent="0.25">
      <c r="A10" s="8" t="s">
        <v>548</v>
      </c>
      <c r="B10" s="104" t="s">
        <v>258</v>
      </c>
      <c r="C10" s="36"/>
      <c r="D10" s="107" t="s">
        <v>171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71.75" customHeight="1" x14ac:dyDescent="0.3">
      <c r="A11" s="101" t="s">
        <v>373</v>
      </c>
      <c r="B11" s="133" t="s">
        <v>261</v>
      </c>
      <c r="C11" s="102" t="s">
        <v>371</v>
      </c>
      <c r="D11" s="10" t="s">
        <v>367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77.75" customHeight="1" x14ac:dyDescent="0.35">
      <c r="A12" s="101" t="s">
        <v>374</v>
      </c>
      <c r="B12" s="133" t="s">
        <v>262</v>
      </c>
      <c r="C12" s="102" t="s">
        <v>372</v>
      </c>
      <c r="D12" s="10" t="s">
        <v>368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25"/>
    <row r="222" spans="1:24" ht="15.75" customHeight="1" x14ac:dyDescent="0.25"/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5" type="noConversion"/>
  <pageMargins left="0.7" right="0.7" top="0.75" bottom="0.75" header="0" footer="0"/>
  <pageSetup scale="99" orientation="portrait" r:id="rId1"/>
  <rowBreaks count="1" manualBreakCount="1">
    <brk id="9" max="3" man="1"/>
  </rowBreaks>
  <colBreaks count="1" manualBreakCount="1">
    <brk id="4" max="1048575" man="1"/>
  </colBreaks>
  <drawing r:id="rId2"/>
  <legacyDrawing r:id="rId3"/>
  <oleObjects>
    <mc:AlternateContent xmlns:mc="http://schemas.openxmlformats.org/markup-compatibility/2006">
      <mc:Choice Requires="x14">
        <oleObject progId="Equation.3" shapeId="9232" r:id="rId4">
          <objectPr defaultSize="0" autoPict="0" r:id="rId5">
            <anchor moveWithCells="1" sizeWithCells="1">
              <from>
                <xdr:col>2</xdr:col>
                <xdr:colOff>482600</xdr:colOff>
                <xdr:row>5</xdr:row>
                <xdr:rowOff>419100</xdr:rowOff>
              </from>
              <to>
                <xdr:col>2</xdr:col>
                <xdr:colOff>1841500</xdr:colOff>
                <xdr:row>5</xdr:row>
                <xdr:rowOff>654050</xdr:rowOff>
              </to>
            </anchor>
          </objectPr>
        </oleObject>
      </mc:Choice>
      <mc:Fallback>
        <oleObject progId="Equation.3" shapeId="9232" r:id="rId4"/>
      </mc:Fallback>
    </mc:AlternateContent>
    <mc:AlternateContent xmlns:mc="http://schemas.openxmlformats.org/markup-compatibility/2006">
      <mc:Choice Requires="x14">
        <oleObject progId="Equation.3" shapeId="9233" r:id="rId6">
          <objectPr defaultSize="0" autoPict="0" r:id="rId7">
            <anchor moveWithCells="1" sizeWithCells="1">
              <from>
                <xdr:col>2</xdr:col>
                <xdr:colOff>558800</xdr:colOff>
                <xdr:row>6</xdr:row>
                <xdr:rowOff>12700</xdr:rowOff>
              </from>
              <to>
                <xdr:col>2</xdr:col>
                <xdr:colOff>1981200</xdr:colOff>
                <xdr:row>7</xdr:row>
                <xdr:rowOff>6350</xdr:rowOff>
              </to>
            </anchor>
          </objectPr>
        </oleObject>
      </mc:Choice>
      <mc:Fallback>
        <oleObject progId="Equation.3" shapeId="9233" r:id="rId6"/>
      </mc:Fallback>
    </mc:AlternateContent>
    <mc:AlternateContent xmlns:mc="http://schemas.openxmlformats.org/markup-compatibility/2006">
      <mc:Choice Requires="x14">
        <oleObject progId="Equation.3" shapeId="9234" r:id="rId8">
          <objectPr defaultSize="0" autoPict="0" r:id="rId9">
            <anchor moveWithCells="1" sizeWithCells="1">
              <from>
                <xdr:col>2</xdr:col>
                <xdr:colOff>406400</xdr:colOff>
                <xdr:row>9</xdr:row>
                <xdr:rowOff>44450</xdr:rowOff>
              </from>
              <to>
                <xdr:col>2</xdr:col>
                <xdr:colOff>1822450</xdr:colOff>
                <xdr:row>10</xdr:row>
                <xdr:rowOff>0</xdr:rowOff>
              </to>
            </anchor>
          </objectPr>
        </oleObject>
      </mc:Choice>
      <mc:Fallback>
        <oleObject progId="Equation.3" shapeId="9234" r:id="rId8"/>
      </mc:Fallback>
    </mc:AlternateContent>
    <mc:AlternateContent xmlns:mc="http://schemas.openxmlformats.org/markup-compatibility/2006">
      <mc:Choice Requires="x14">
        <oleObject progId="Equation.3" shapeId="9235" r:id="rId10">
          <objectPr defaultSize="0" r:id="rId11">
            <anchor moveWithCells="1" sizeWithCells="1">
              <from>
                <xdr:col>2</xdr:col>
                <xdr:colOff>222250</xdr:colOff>
                <xdr:row>7</xdr:row>
                <xdr:rowOff>50800</xdr:rowOff>
              </from>
              <to>
                <xdr:col>2</xdr:col>
                <xdr:colOff>2063750</xdr:colOff>
                <xdr:row>7</xdr:row>
                <xdr:rowOff>304800</xdr:rowOff>
              </to>
            </anchor>
          </objectPr>
        </oleObject>
      </mc:Choice>
      <mc:Fallback>
        <oleObject progId="Equation.3" shapeId="9235" r:id="rId10"/>
      </mc:Fallback>
    </mc:AlternateContent>
    <mc:AlternateContent xmlns:mc="http://schemas.openxmlformats.org/markup-compatibility/2006">
      <mc:Choice Requires="x14">
        <oleObject progId="Equation.3" shapeId="9236" r:id="rId12">
          <objectPr defaultSize="0" autoPict="0" r:id="rId13">
            <anchor moveWithCells="1" sizeWithCells="1">
              <from>
                <xdr:col>2</xdr:col>
                <xdr:colOff>203200</xdr:colOff>
                <xdr:row>8</xdr:row>
                <xdr:rowOff>31750</xdr:rowOff>
              </from>
              <to>
                <xdr:col>2</xdr:col>
                <xdr:colOff>1955800</xdr:colOff>
                <xdr:row>8</xdr:row>
                <xdr:rowOff>273050</xdr:rowOff>
              </to>
            </anchor>
          </objectPr>
        </oleObject>
      </mc:Choice>
      <mc:Fallback>
        <oleObject progId="Equation.3" shapeId="9236" r:id="rId12"/>
      </mc:Fallback>
    </mc:AlternateContent>
    <mc:AlternateContent xmlns:mc="http://schemas.openxmlformats.org/markup-compatibility/2006">
      <mc:Choice Requires="x14">
        <oleObject progId="Equation.3" shapeId="9237" r:id="rId14">
          <objectPr defaultSize="0" autoPict="0" r:id="rId15">
            <anchor moveWithCells="1" sizeWithCells="1">
              <from>
                <xdr:col>2</xdr:col>
                <xdr:colOff>139700</xdr:colOff>
                <xdr:row>10</xdr:row>
                <xdr:rowOff>69850</xdr:rowOff>
              </from>
              <to>
                <xdr:col>2</xdr:col>
                <xdr:colOff>2254250</xdr:colOff>
                <xdr:row>10</xdr:row>
                <xdr:rowOff>311150</xdr:rowOff>
              </to>
            </anchor>
          </objectPr>
        </oleObject>
      </mc:Choice>
      <mc:Fallback>
        <oleObject progId="Equation.3" shapeId="9237" r:id="rId14"/>
      </mc:Fallback>
    </mc:AlternateContent>
    <mc:AlternateContent xmlns:mc="http://schemas.openxmlformats.org/markup-compatibility/2006">
      <mc:Choice Requires="x14">
        <oleObject progId="Equation.3" shapeId="9238" r:id="rId16">
          <objectPr defaultSize="0" autoPict="0" r:id="rId17">
            <anchor moveWithCells="1" sizeWithCells="1">
              <from>
                <xdr:col>2</xdr:col>
                <xdr:colOff>139700</xdr:colOff>
                <xdr:row>11</xdr:row>
                <xdr:rowOff>107950</xdr:rowOff>
              </from>
              <to>
                <xdr:col>2</xdr:col>
                <xdr:colOff>2254250</xdr:colOff>
                <xdr:row>11</xdr:row>
                <xdr:rowOff>349250</xdr:rowOff>
              </to>
            </anchor>
          </objectPr>
        </oleObject>
      </mc:Choice>
      <mc:Fallback>
        <oleObject progId="Equation.3" shapeId="9238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X1000"/>
  <sheetViews>
    <sheetView workbookViewId="0">
      <selection activeCell="D2" sqref="D2"/>
    </sheetView>
  </sheetViews>
  <sheetFormatPr defaultColWidth="12.54296875" defaultRowHeight="15" customHeight="1" x14ac:dyDescent="0.25"/>
  <cols>
    <col min="1" max="1" width="18.54296875" customWidth="1"/>
    <col min="2" max="2" width="8.36328125" customWidth="1"/>
    <col min="3" max="3" width="34.54296875" customWidth="1"/>
    <col min="4" max="4" width="19.36328125" customWidth="1"/>
    <col min="5" max="6" width="8" customWidth="1"/>
    <col min="7" max="24" width="7" customWidth="1"/>
    <col min="25" max="26" width="11" customWidth="1"/>
  </cols>
  <sheetData>
    <row r="1" spans="1:24" ht="15.75" customHeight="1" x14ac:dyDescent="0.25">
      <c r="A1" s="1"/>
      <c r="B1" s="1"/>
      <c r="C1" s="1"/>
      <c r="D1" s="26" t="s">
        <v>255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 x14ac:dyDescent="0.25">
      <c r="A3" s="3" t="s">
        <v>549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1.5" customHeight="1" x14ac:dyDescent="0.25">
      <c r="A5" s="147" t="s">
        <v>452</v>
      </c>
      <c r="B5" s="148" t="s">
        <v>506</v>
      </c>
      <c r="C5" s="147" t="s">
        <v>454</v>
      </c>
      <c r="D5" s="147" t="s">
        <v>455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25">
      <c r="A6" s="37" t="s">
        <v>550</v>
      </c>
      <c r="B6" s="130" t="s">
        <v>138</v>
      </c>
      <c r="C6" s="129" t="s">
        <v>239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1.75" customHeight="1" x14ac:dyDescent="0.25">
      <c r="A7" s="38" t="s">
        <v>551</v>
      </c>
      <c r="B7" s="131" t="s">
        <v>139</v>
      </c>
      <c r="C7" s="120"/>
      <c r="D7" s="98" t="s">
        <v>552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25"/>
    <row r="222" spans="1:24" ht="15.75" customHeight="1" x14ac:dyDescent="0.25"/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5" type="noConversion"/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Equation.3" shapeId="10242" r:id="rId3">
          <objectPr defaultSize="0" autoPict="0" r:id="rId4">
            <anchor moveWithCells="1" sizeWithCells="1">
              <from>
                <xdr:col>2</xdr:col>
                <xdr:colOff>863600</xdr:colOff>
                <xdr:row>6</xdr:row>
                <xdr:rowOff>609600</xdr:rowOff>
              </from>
              <to>
                <xdr:col>2</xdr:col>
                <xdr:colOff>1612900</xdr:colOff>
                <xdr:row>6</xdr:row>
                <xdr:rowOff>1003300</xdr:rowOff>
              </to>
            </anchor>
          </objectPr>
        </oleObject>
      </mc:Choice>
      <mc:Fallback>
        <oleObject progId="Equation.3" shapeId="10242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3"/>
  <sheetViews>
    <sheetView zoomScaleNormal="100" workbookViewId="0">
      <selection activeCell="J8" sqref="J8"/>
    </sheetView>
  </sheetViews>
  <sheetFormatPr defaultRowHeight="12.5" x14ac:dyDescent="0.25"/>
  <cols>
    <col min="1" max="1" width="113.08984375" bestFit="1" customWidth="1"/>
    <col min="2" max="2" width="18.36328125" customWidth="1"/>
  </cols>
  <sheetData>
    <row r="1" spans="1:4" x14ac:dyDescent="0.25">
      <c r="A1" s="173"/>
      <c r="B1" s="174" t="s">
        <v>348</v>
      </c>
    </row>
    <row r="2" spans="1:4" ht="17" x14ac:dyDescent="0.25">
      <c r="A2" s="215" t="s">
        <v>34</v>
      </c>
      <c r="B2" s="215"/>
    </row>
    <row r="3" spans="1:4" ht="18.75" customHeight="1" x14ac:dyDescent="0.25">
      <c r="A3" s="167" t="s">
        <v>334</v>
      </c>
      <c r="B3" s="150" t="s">
        <v>347</v>
      </c>
      <c r="D3" t="s">
        <v>14</v>
      </c>
    </row>
    <row r="4" spans="1:4" ht="16.5" x14ac:dyDescent="0.25">
      <c r="A4" s="161" t="s">
        <v>335</v>
      </c>
      <c r="B4" s="169">
        <v>5</v>
      </c>
    </row>
    <row r="5" spans="1:4" ht="16.5" x14ac:dyDescent="0.25">
      <c r="A5" s="166" t="s">
        <v>360</v>
      </c>
      <c r="B5" s="169">
        <v>36</v>
      </c>
    </row>
    <row r="6" spans="1:4" ht="16.5" x14ac:dyDescent="0.25">
      <c r="A6" s="161" t="s">
        <v>337</v>
      </c>
      <c r="B6" s="169">
        <v>75000</v>
      </c>
    </row>
    <row r="7" spans="1:4" ht="16.5" x14ac:dyDescent="0.25">
      <c r="A7" s="161" t="s">
        <v>354</v>
      </c>
      <c r="B7" s="169">
        <v>2</v>
      </c>
    </row>
    <row r="8" spans="1:4" ht="16.5" x14ac:dyDescent="0.25">
      <c r="A8" s="161" t="s">
        <v>1</v>
      </c>
      <c r="B8" s="169">
        <v>75000</v>
      </c>
    </row>
    <row r="9" spans="1:4" ht="16.5" x14ac:dyDescent="0.25">
      <c r="A9" s="161" t="s">
        <v>353</v>
      </c>
      <c r="B9" s="169">
        <v>0</v>
      </c>
    </row>
    <row r="10" spans="1:4" ht="16.5" x14ac:dyDescent="0.25">
      <c r="A10" s="161" t="s">
        <v>355</v>
      </c>
      <c r="B10" s="169">
        <v>0</v>
      </c>
    </row>
    <row r="11" spans="1:4" ht="16.5" x14ac:dyDescent="0.25">
      <c r="A11" s="161" t="s">
        <v>349</v>
      </c>
      <c r="B11" s="169">
        <v>5</v>
      </c>
    </row>
    <row r="12" spans="1:4" ht="16.5" x14ac:dyDescent="0.25">
      <c r="A12" s="161" t="s">
        <v>356</v>
      </c>
      <c r="B12" s="169">
        <v>160</v>
      </c>
    </row>
    <row r="13" spans="1:4" ht="16.5" x14ac:dyDescent="0.25">
      <c r="A13" s="161" t="s">
        <v>351</v>
      </c>
      <c r="B13" s="169">
        <v>0</v>
      </c>
    </row>
    <row r="14" spans="1:4" ht="16.5" x14ac:dyDescent="0.25">
      <c r="A14" s="161" t="s">
        <v>352</v>
      </c>
      <c r="B14" s="171">
        <v>0.15</v>
      </c>
    </row>
    <row r="15" spans="1:4" ht="16.5" x14ac:dyDescent="0.25">
      <c r="A15" s="161" t="s">
        <v>350</v>
      </c>
      <c r="B15" s="171">
        <v>5.5</v>
      </c>
    </row>
    <row r="16" spans="1:4" ht="16.5" x14ac:dyDescent="0.25">
      <c r="A16" s="161" t="s">
        <v>357</v>
      </c>
      <c r="B16" s="169">
        <f>168699/12</f>
        <v>14058.25</v>
      </c>
    </row>
    <row r="17" spans="1:2" ht="16.5" x14ac:dyDescent="0.25">
      <c r="A17" s="161" t="s">
        <v>358</v>
      </c>
      <c r="B17" s="169">
        <v>0</v>
      </c>
    </row>
    <row r="18" spans="1:2" ht="16.5" x14ac:dyDescent="0.25">
      <c r="A18" s="161" t="s">
        <v>359</v>
      </c>
      <c r="B18" s="169">
        <v>12</v>
      </c>
    </row>
    <row r="19" spans="1:2" ht="16.5" x14ac:dyDescent="0.25">
      <c r="A19" s="161" t="s">
        <v>361</v>
      </c>
      <c r="B19" s="169">
        <v>160</v>
      </c>
    </row>
    <row r="20" spans="1:2" ht="16.5" x14ac:dyDescent="0.25">
      <c r="A20" s="161" t="s">
        <v>362</v>
      </c>
      <c r="B20" s="169">
        <v>160</v>
      </c>
    </row>
    <row r="21" spans="1:2" ht="16.5" x14ac:dyDescent="0.25">
      <c r="A21" s="161" t="s">
        <v>363</v>
      </c>
      <c r="B21" s="169">
        <v>160</v>
      </c>
    </row>
    <row r="22" spans="1:2" ht="18.75" customHeight="1" x14ac:dyDescent="0.25">
      <c r="A22" s="161" t="s">
        <v>364</v>
      </c>
      <c r="B22" s="169">
        <v>160</v>
      </c>
    </row>
    <row r="23" spans="1:2" ht="16.5" x14ac:dyDescent="0.25">
      <c r="A23" s="161" t="s">
        <v>158</v>
      </c>
      <c r="B23" s="169">
        <f>170000/160</f>
        <v>1062.5</v>
      </c>
    </row>
    <row r="24" spans="1:2" ht="16.5" x14ac:dyDescent="0.25">
      <c r="A24" s="161" t="s">
        <v>0</v>
      </c>
      <c r="B24" s="169">
        <v>75000</v>
      </c>
    </row>
    <row r="25" spans="1:2" ht="16.5" x14ac:dyDescent="0.25">
      <c r="A25" s="161" t="s">
        <v>336</v>
      </c>
      <c r="B25" s="169">
        <v>0</v>
      </c>
    </row>
    <row r="26" spans="1:2" ht="16.5" customHeight="1" x14ac:dyDescent="0.25">
      <c r="A26" s="161" t="s">
        <v>338</v>
      </c>
      <c r="B26" s="169">
        <f>170000/160</f>
        <v>1062.5</v>
      </c>
    </row>
    <row r="27" spans="1:2" ht="16.5" x14ac:dyDescent="0.25">
      <c r="A27" s="161" t="s">
        <v>339</v>
      </c>
      <c r="B27" s="169">
        <v>20</v>
      </c>
    </row>
    <row r="28" spans="1:2" ht="16.5" x14ac:dyDescent="0.25">
      <c r="A28" s="161" t="s">
        <v>340</v>
      </c>
      <c r="B28" s="169">
        <v>2</v>
      </c>
    </row>
    <row r="29" spans="1:2" ht="16.5" x14ac:dyDescent="0.25">
      <c r="A29" s="161" t="s">
        <v>341</v>
      </c>
      <c r="B29" s="169">
        <v>0</v>
      </c>
    </row>
    <row r="30" spans="1:2" ht="16.5" x14ac:dyDescent="0.25">
      <c r="A30" s="166" t="s">
        <v>6</v>
      </c>
      <c r="B30" s="169">
        <v>1</v>
      </c>
    </row>
    <row r="31" spans="1:2" ht="16.5" x14ac:dyDescent="0.25">
      <c r="A31" s="166" t="s">
        <v>330</v>
      </c>
      <c r="B31" s="169">
        <f>120000/160</f>
        <v>750</v>
      </c>
    </row>
    <row r="32" spans="1:2" ht="16.5" customHeight="1" x14ac:dyDescent="0.25">
      <c r="A32" s="166" t="s">
        <v>232</v>
      </c>
      <c r="B32" s="169">
        <v>0</v>
      </c>
    </row>
    <row r="33" spans="1:2" ht="16.5" x14ac:dyDescent="0.25">
      <c r="A33" s="161" t="s">
        <v>342</v>
      </c>
      <c r="B33" s="169">
        <v>2</v>
      </c>
    </row>
    <row r="34" spans="1:2" ht="16.5" x14ac:dyDescent="0.25">
      <c r="A34" s="166" t="s">
        <v>98</v>
      </c>
      <c r="B34" s="169">
        <f>120000/160</f>
        <v>750</v>
      </c>
    </row>
    <row r="35" spans="1:2" ht="16.5" x14ac:dyDescent="0.25">
      <c r="A35" s="161" t="s">
        <v>99</v>
      </c>
      <c r="B35" s="169">
        <v>0</v>
      </c>
    </row>
    <row r="36" spans="1:2" ht="16.5" x14ac:dyDescent="0.25">
      <c r="A36" s="166" t="s">
        <v>562</v>
      </c>
      <c r="B36" s="169">
        <v>30</v>
      </c>
    </row>
    <row r="37" spans="1:2" ht="16.5" x14ac:dyDescent="0.25">
      <c r="A37" s="165" t="s">
        <v>100</v>
      </c>
      <c r="B37" s="169">
        <v>26000000</v>
      </c>
    </row>
    <row r="38" spans="1:2" ht="16.5" x14ac:dyDescent="0.25">
      <c r="A38" s="162" t="s">
        <v>332</v>
      </c>
      <c r="B38" s="169">
        <v>30000</v>
      </c>
    </row>
    <row r="39" spans="1:2" ht="16.5" x14ac:dyDescent="0.25">
      <c r="A39" s="162" t="s">
        <v>333</v>
      </c>
      <c r="B39" s="169">
        <v>0</v>
      </c>
    </row>
    <row r="40" spans="1:2" ht="16.5" x14ac:dyDescent="0.25">
      <c r="A40" s="161" t="s">
        <v>343</v>
      </c>
      <c r="B40" s="169">
        <v>2400</v>
      </c>
    </row>
    <row r="41" spans="1:2" ht="16.5" x14ac:dyDescent="0.25">
      <c r="A41" s="161" t="s">
        <v>331</v>
      </c>
      <c r="B41" s="168">
        <v>1.302</v>
      </c>
    </row>
    <row r="42" spans="1:2" ht="16.5" x14ac:dyDescent="0.25">
      <c r="A42" s="161" t="s">
        <v>344</v>
      </c>
      <c r="B42" s="168">
        <v>1.2500000000000001E-2</v>
      </c>
    </row>
    <row r="43" spans="1:2" ht="16.5" x14ac:dyDescent="0.25">
      <c r="A43" s="161" t="s">
        <v>345</v>
      </c>
      <c r="B43" s="168">
        <v>0</v>
      </c>
    </row>
    <row r="44" spans="1:2" ht="16.5" x14ac:dyDescent="0.25">
      <c r="A44" s="165" t="s">
        <v>346</v>
      </c>
      <c r="B44" s="170">
        <v>5.5E-2</v>
      </c>
    </row>
    <row r="45" spans="1:2" ht="16.5" x14ac:dyDescent="0.25">
      <c r="A45" s="161" t="s">
        <v>328</v>
      </c>
      <c r="B45" s="169">
        <v>0</v>
      </c>
    </row>
    <row r="46" spans="1:2" ht="16.5" x14ac:dyDescent="0.25">
      <c r="A46" s="161" t="s">
        <v>329</v>
      </c>
      <c r="B46" s="169">
        <v>0</v>
      </c>
    </row>
    <row r="47" spans="1:2" ht="16.5" x14ac:dyDescent="0.25">
      <c r="A47" s="161" t="s">
        <v>2</v>
      </c>
      <c r="B47" s="169">
        <f>168699/12</f>
        <v>14058.25</v>
      </c>
    </row>
    <row r="48" spans="1:2" ht="16.5" x14ac:dyDescent="0.25">
      <c r="A48" s="164" t="s">
        <v>9</v>
      </c>
      <c r="B48" s="169">
        <v>1</v>
      </c>
    </row>
    <row r="49" spans="1:2" ht="16.5" x14ac:dyDescent="0.25">
      <c r="A49" s="164" t="s">
        <v>10</v>
      </c>
      <c r="B49" s="169">
        <v>1</v>
      </c>
    </row>
    <row r="50" spans="1:2" ht="21" customHeight="1" x14ac:dyDescent="0.25">
      <c r="A50" s="164" t="s">
        <v>8</v>
      </c>
      <c r="B50" s="169">
        <v>0</v>
      </c>
    </row>
    <row r="51" spans="1:2" ht="20.25" customHeight="1" x14ac:dyDescent="0.25">
      <c r="A51" s="164" t="s">
        <v>11</v>
      </c>
      <c r="B51" s="169">
        <v>0</v>
      </c>
    </row>
    <row r="52" spans="1:2" ht="16.5" x14ac:dyDescent="0.25">
      <c r="A52" s="164" t="s">
        <v>12</v>
      </c>
      <c r="B52" s="169">
        <v>40000</v>
      </c>
    </row>
    <row r="53" spans="1:2" ht="16.5" x14ac:dyDescent="0.25">
      <c r="A53" s="164" t="s">
        <v>13</v>
      </c>
      <c r="B53" s="169">
        <v>160</v>
      </c>
    </row>
  </sheetData>
  <autoFilter ref="A3:B53" xr:uid="{00000000-0009-0000-0000-000006000000}"/>
  <mergeCells count="1">
    <mergeCell ref="A2:B2"/>
  </mergeCells>
  <phoneticPr fontId="35" type="noConversion"/>
  <pageMargins left="0.75" right="0.75" top="1" bottom="1" header="0.5" footer="0.5"/>
  <pageSetup paperSize="9" scale="67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CC00"/>
    <outlinePr summaryBelow="0"/>
  </sheetPr>
  <dimension ref="A1:Z1001"/>
  <sheetViews>
    <sheetView topLeftCell="A16" workbookViewId="0">
      <selection activeCell="D25" sqref="D25"/>
    </sheetView>
  </sheetViews>
  <sheetFormatPr defaultColWidth="12.54296875" defaultRowHeight="15" customHeight="1" outlineLevelRow="1" x14ac:dyDescent="0.25"/>
  <cols>
    <col min="1" max="1" width="34.54296875" customWidth="1"/>
    <col min="2" max="2" width="9.08984375" style="125" customWidth="1"/>
    <col min="3" max="3" width="19.36328125" bestFit="1" customWidth="1"/>
    <col min="4" max="4" width="61.90625" customWidth="1"/>
    <col min="5" max="5" width="11.36328125" bestFit="1" customWidth="1"/>
    <col min="6" max="6" width="19.36328125" bestFit="1" customWidth="1"/>
    <col min="7" max="7" width="11" customWidth="1"/>
    <col min="8" max="9" width="10.453125" customWidth="1"/>
    <col min="10" max="10" width="15.36328125" customWidth="1"/>
    <col min="11" max="12" width="8" customWidth="1"/>
    <col min="13" max="26" width="7" customWidth="1"/>
  </cols>
  <sheetData>
    <row r="1" spans="1:26" ht="15.75" customHeight="1" x14ac:dyDescent="0.25">
      <c r="A1" s="1"/>
      <c r="B1" s="123"/>
      <c r="C1" s="1"/>
      <c r="D1" s="1"/>
      <c r="E1" s="1"/>
      <c r="F1" s="1"/>
      <c r="G1" s="1"/>
      <c r="I1" s="26" t="s">
        <v>246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2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5">
      <c r="A3" s="195" t="s">
        <v>365</v>
      </c>
      <c r="B3" s="195"/>
      <c r="C3" s="195"/>
      <c r="D3" s="195"/>
      <c r="E3" s="195"/>
      <c r="F3" s="195"/>
      <c r="G3" s="195"/>
      <c r="H3" s="195"/>
      <c r="I3" s="19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2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 customHeight="1" x14ac:dyDescent="0.25">
      <c r="A5" s="197" t="s">
        <v>452</v>
      </c>
      <c r="B5" s="192"/>
      <c r="C5" s="199" t="s">
        <v>553</v>
      </c>
      <c r="D5" s="205" t="s">
        <v>153</v>
      </c>
      <c r="E5" s="205"/>
      <c r="F5" s="205"/>
      <c r="G5" s="205"/>
      <c r="H5" s="205"/>
      <c r="I5" s="20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7.5" customHeight="1" x14ac:dyDescent="0.25">
      <c r="A6" s="194"/>
      <c r="B6" s="216"/>
      <c r="C6" s="194"/>
      <c r="D6" s="159" t="s">
        <v>39</v>
      </c>
      <c r="E6" s="159" t="s">
        <v>40</v>
      </c>
      <c r="F6" s="159" t="s">
        <v>41</v>
      </c>
      <c r="G6" s="159" t="s">
        <v>42</v>
      </c>
      <c r="H6" s="159" t="s">
        <v>43</v>
      </c>
      <c r="I6" s="159" t="s">
        <v>44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 x14ac:dyDescent="0.25">
      <c r="A7" s="6" t="s">
        <v>457</v>
      </c>
      <c r="B7" s="104" t="s">
        <v>164</v>
      </c>
      <c r="C7" s="39">
        <f t="shared" ref="C7:H7" si="0">C8+C15+C20+C23+C34</f>
        <v>1425333.9</v>
      </c>
      <c r="D7" s="39">
        <f t="shared" si="0"/>
        <v>475111.3</v>
      </c>
      <c r="E7" s="39">
        <f t="shared" si="0"/>
        <v>364441.3</v>
      </c>
      <c r="F7" s="39">
        <f t="shared" si="0"/>
        <v>585781.30000000005</v>
      </c>
      <c r="G7" s="39">
        <f t="shared" si="0"/>
        <v>0</v>
      </c>
      <c r="H7" s="39">
        <f t="shared" si="0"/>
        <v>0</v>
      </c>
      <c r="I7" s="39">
        <f>I8+I15+I20+I23+I34</f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8" t="s">
        <v>459</v>
      </c>
      <c r="B8" s="104" t="s">
        <v>165</v>
      </c>
      <c r="C8" s="40">
        <f t="shared" ref="C8:H8" si="1">SUM(C9:C14)</f>
        <v>356.40000000000003</v>
      </c>
      <c r="D8" s="40">
        <f>SUM(D9:D14)</f>
        <v>118.80000000000001</v>
      </c>
      <c r="E8" s="40">
        <f t="shared" si="1"/>
        <v>118.80000000000001</v>
      </c>
      <c r="F8" s="40">
        <f t="shared" si="1"/>
        <v>118.80000000000001</v>
      </c>
      <c r="G8" s="40">
        <f t="shared" si="1"/>
        <v>0</v>
      </c>
      <c r="H8" s="40">
        <f t="shared" si="1"/>
        <v>0</v>
      </c>
      <c r="I8" s="40">
        <f>SUM(I9:I14)</f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25" customHeight="1" x14ac:dyDescent="0.35">
      <c r="A9" s="7" t="s">
        <v>460</v>
      </c>
      <c r="B9" s="104" t="s">
        <v>184</v>
      </c>
      <c r="C9" s="41">
        <f t="shared" ref="C9:C14" si="2">SUM(D9:I9)</f>
        <v>0</v>
      </c>
      <c r="D9" s="42">
        <f>'Б1.1.1'!$B$8/'Б1.1.1'!$B$5*'Б1.1.1'!$D$13</f>
        <v>0</v>
      </c>
      <c r="E9" s="42">
        <f>'Б1.1.1'!$B$8/'Б1.1.1'!$B$5*'Б1.1.1'!$D$13</f>
        <v>0</v>
      </c>
      <c r="F9" s="42">
        <f>'Б1.1.1'!$B$8/'Б1.1.1'!$B$5*'Б1.1.1'!$D$13</f>
        <v>0</v>
      </c>
      <c r="G9" s="43"/>
      <c r="H9" s="43"/>
      <c r="I9" s="4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6.5" x14ac:dyDescent="0.25">
      <c r="A10" s="10" t="s">
        <v>463</v>
      </c>
      <c r="B10" s="104" t="s">
        <v>185</v>
      </c>
      <c r="C10" s="41">
        <f t="shared" si="2"/>
        <v>0</v>
      </c>
      <c r="D10" s="42">
        <f>('Б1.1.1'!$B$8+'Б1.1.1'!$B$24)/'Б1.1.1'!$B$5*'Б1.1.1'!$B$9</f>
        <v>0</v>
      </c>
      <c r="E10" s="42">
        <f>D10</f>
        <v>0</v>
      </c>
      <c r="F10" s="42">
        <f>E10</f>
        <v>0</v>
      </c>
      <c r="G10" s="43"/>
      <c r="H10" s="43"/>
      <c r="I10" s="4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" x14ac:dyDescent="0.25">
      <c r="A11" s="10" t="s">
        <v>151</v>
      </c>
      <c r="B11" s="104" t="s">
        <v>186</v>
      </c>
      <c r="C11" s="41">
        <f t="shared" si="2"/>
        <v>0</v>
      </c>
      <c r="D11" s="42">
        <v>0</v>
      </c>
      <c r="E11" s="42">
        <v>0</v>
      </c>
      <c r="F11" s="42">
        <v>0</v>
      </c>
      <c r="G11" s="43"/>
      <c r="H11" s="43"/>
      <c r="I11" s="43"/>
      <c r="J11" s="1"/>
      <c r="K11" s="4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x14ac:dyDescent="0.25">
      <c r="A12" s="12" t="s">
        <v>466</v>
      </c>
      <c r="B12" s="104" t="s">
        <v>187</v>
      </c>
      <c r="C12" s="41">
        <f t="shared" si="2"/>
        <v>356.40000000000003</v>
      </c>
      <c r="D12" s="42">
        <f>'Б1.1.1'!$B$13+(0.9*'Б1.1.1'!$B$14*'Б1.1.1'!$B$12*'Б1.1.1'!$B$15)</f>
        <v>118.80000000000001</v>
      </c>
      <c r="E12" s="42">
        <f>'Б1.1.1'!$B$13+(0.9*'Б1.1.1'!$B$14*'Б1.1.1'!$B$12*'Б1.1.1'!$B$15)</f>
        <v>118.80000000000001</v>
      </c>
      <c r="F12" s="42">
        <f>'Б1.1.1'!$B$13+(0.9*'Б1.1.1'!$B$14*'Б1.1.1'!$B$12*'Б1.1.1'!$B$15)</f>
        <v>118.80000000000001</v>
      </c>
      <c r="G12" s="43"/>
      <c r="H12" s="43"/>
      <c r="I12" s="4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2" x14ac:dyDescent="0.35">
      <c r="A13" s="7" t="s">
        <v>555</v>
      </c>
      <c r="B13" s="104" t="s">
        <v>188</v>
      </c>
      <c r="C13" s="41">
        <f t="shared" si="2"/>
        <v>0</v>
      </c>
      <c r="D13" s="42">
        <v>0</v>
      </c>
      <c r="E13" s="42">
        <v>0</v>
      </c>
      <c r="F13" s="42">
        <v>0</v>
      </c>
      <c r="G13" s="43"/>
      <c r="H13" s="43"/>
      <c r="I13" s="4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0.25" customHeight="1" x14ac:dyDescent="0.35">
      <c r="A14" s="7" t="s">
        <v>469</v>
      </c>
      <c r="B14" s="104" t="s">
        <v>189</v>
      </c>
      <c r="C14" s="41">
        <f t="shared" si="2"/>
        <v>0</v>
      </c>
      <c r="D14" s="42">
        <f>'Б1.1.1'!$B$10</f>
        <v>0</v>
      </c>
      <c r="E14" s="42">
        <f>'Б1.1.1'!$B$10</f>
        <v>0</v>
      </c>
      <c r="F14" s="42">
        <f>'Б1.1.1'!$B$10</f>
        <v>0</v>
      </c>
      <c r="G14" s="43"/>
      <c r="H14" s="43"/>
      <c r="I14" s="4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3">
      <c r="A15" s="16" t="s">
        <v>470</v>
      </c>
      <c r="B15" s="124" t="s">
        <v>167</v>
      </c>
      <c r="C15" s="40">
        <f t="shared" ref="C15:H15" si="3">SUM(C16:C19)</f>
        <v>421747.5</v>
      </c>
      <c r="D15" s="40">
        <f t="shared" si="3"/>
        <v>140582.5</v>
      </c>
      <c r="E15" s="40">
        <f t="shared" si="3"/>
        <v>140582.5</v>
      </c>
      <c r="F15" s="40">
        <f t="shared" si="3"/>
        <v>140582.5</v>
      </c>
      <c r="G15" s="40">
        <f t="shared" si="3"/>
        <v>0</v>
      </c>
      <c r="H15" s="40">
        <f t="shared" si="3"/>
        <v>0</v>
      </c>
      <c r="I15" s="40">
        <f>SUM(I16:I19)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5">
      <c r="A16" s="10" t="s">
        <v>471</v>
      </c>
      <c r="B16" s="104" t="s">
        <v>180</v>
      </c>
      <c r="C16" s="41">
        <f>SUM(D16:I16)</f>
        <v>421747.5</v>
      </c>
      <c r="D16" s="42">
        <f>('Б1.1.1'!$B$39*'Б1.1.1'!$B$4)+('Б1.1.1'!$B$47*'Б1.1.1'!$B$4)+('Б1.1.1'!$B$16*'Б1.1.1'!$B$4)+('Б1.1.1'!$B$17*'Б1.1.1'!$B$4)</f>
        <v>140582.5</v>
      </c>
      <c r="E16" s="42">
        <f>('Б1.1.1'!B39*'Б1.1.1'!B4)+('Б1.1.1'!B47*'Б1.1.1'!B4)+('Б1.1.1'!B16*'Б1.1.1'!B4)+('Б1.1.1'!B17*'Б1.1.1'!B4)</f>
        <v>140582.5</v>
      </c>
      <c r="F16" s="42">
        <f>('Б1.1.1'!B39*'Б1.1.1'!B4)+('Б1.1.1'!B47*'Б1.1.1'!B4)+('Б1.1.1'!B16*'Б1.1.1'!B4)+('Б1.1.1'!B17*'Б1.1.1'!B4)</f>
        <v>140582.5</v>
      </c>
      <c r="G16" s="43"/>
      <c r="H16" s="43"/>
      <c r="I16" s="4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7.25" customHeight="1" x14ac:dyDescent="0.25">
      <c r="A17" s="10" t="s">
        <v>473</v>
      </c>
      <c r="B17" s="104" t="s">
        <v>181</v>
      </c>
      <c r="C17" s="41">
        <f>SUM(D17:I17)</f>
        <v>0</v>
      </c>
      <c r="D17" s="42">
        <f>'Б1.1.1'!$B$17/'Б1.1.1'!$B$18</f>
        <v>0</v>
      </c>
      <c r="E17" s="42">
        <f>'Б1.1.1'!$B$17/'Б1.1.1'!$B$18</f>
        <v>0</v>
      </c>
      <c r="F17" s="42">
        <f>'Б1.1.1'!$B$17/'Б1.1.1'!$B$18</f>
        <v>0</v>
      </c>
      <c r="G17" s="43"/>
      <c r="H17" s="43"/>
      <c r="I17" s="43"/>
      <c r="J17" s="1"/>
      <c r="K17" s="1" t="s">
        <v>556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5" x14ac:dyDescent="0.35">
      <c r="A18" s="7" t="s">
        <v>475</v>
      </c>
      <c r="B18" s="104" t="s">
        <v>182</v>
      </c>
      <c r="C18" s="41">
        <f>SUM(D18:I18)</f>
        <v>0</v>
      </c>
      <c r="D18" s="42">
        <v>0</v>
      </c>
      <c r="E18" s="42">
        <v>0</v>
      </c>
      <c r="F18" s="42">
        <v>0</v>
      </c>
      <c r="G18" s="43"/>
      <c r="H18" s="43"/>
      <c r="I18" s="4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7.25" customHeight="1" x14ac:dyDescent="0.35">
      <c r="A19" s="7" t="s">
        <v>476</v>
      </c>
      <c r="B19" s="104" t="s">
        <v>183</v>
      </c>
      <c r="C19" s="41">
        <f>SUM(D19:I19)</f>
        <v>0</v>
      </c>
      <c r="D19" s="42">
        <v>0</v>
      </c>
      <c r="E19" s="42">
        <v>0</v>
      </c>
      <c r="F19" s="42">
        <v>0</v>
      </c>
      <c r="G19" s="43"/>
      <c r="H19" s="43"/>
      <c r="I19" s="4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 customHeight="1" collapsed="1" x14ac:dyDescent="0.25">
      <c r="A20" s="5" t="s">
        <v>478</v>
      </c>
      <c r="B20" s="104" t="s">
        <v>449</v>
      </c>
      <c r="C20" s="40">
        <f>SUM(C21:C22)</f>
        <v>0</v>
      </c>
      <c r="D20" s="40">
        <f t="shared" ref="D20:I20" si="4">SUM(D21:D22)</f>
        <v>0</v>
      </c>
      <c r="E20" s="40">
        <f t="shared" si="4"/>
        <v>0</v>
      </c>
      <c r="F20" s="40">
        <f t="shared" si="4"/>
        <v>0</v>
      </c>
      <c r="G20" s="40">
        <f t="shared" si="4"/>
        <v>0</v>
      </c>
      <c r="H20" s="40">
        <f t="shared" si="4"/>
        <v>0</v>
      </c>
      <c r="I20" s="40">
        <f t="shared" si="4"/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0" hidden="1" customHeight="1" outlineLevel="1" x14ac:dyDescent="0.3">
      <c r="A21" s="19" t="s">
        <v>173</v>
      </c>
      <c r="B21" s="104" t="s">
        <v>190</v>
      </c>
      <c r="C21" s="41">
        <f>SUM(D21:I21)</f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0" hidden="1" customHeight="1" outlineLevel="1" x14ac:dyDescent="0.3">
      <c r="A22" s="19" t="s">
        <v>174</v>
      </c>
      <c r="B22" s="104" t="s">
        <v>191</v>
      </c>
      <c r="C22" s="41">
        <f>SUM(D22:I22)</f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" x14ac:dyDescent="0.25">
      <c r="A23" s="114" t="s">
        <v>213</v>
      </c>
      <c r="B23" s="104" t="s">
        <v>445</v>
      </c>
      <c r="C23" s="40">
        <f t="shared" ref="C23:H23" si="5">C24+C29</f>
        <v>996030</v>
      </c>
      <c r="D23" s="40">
        <f t="shared" si="5"/>
        <v>332010</v>
      </c>
      <c r="E23" s="40">
        <f t="shared" si="5"/>
        <v>221340</v>
      </c>
      <c r="F23" s="40">
        <f t="shared" si="5"/>
        <v>442680</v>
      </c>
      <c r="G23" s="40">
        <f t="shared" si="5"/>
        <v>0</v>
      </c>
      <c r="H23" s="40">
        <f t="shared" si="5"/>
        <v>0</v>
      </c>
      <c r="I23" s="40">
        <f>I24+I29</f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0" x14ac:dyDescent="0.25">
      <c r="A24" s="108" t="s">
        <v>236</v>
      </c>
      <c r="B24" s="104" t="s">
        <v>192</v>
      </c>
      <c r="C24" s="41">
        <f>SUM(C25:C28)</f>
        <v>996030</v>
      </c>
      <c r="D24" s="41">
        <f t="shared" ref="D24:I24" si="6">D25+D26+D27+D28</f>
        <v>332010</v>
      </c>
      <c r="E24" s="41">
        <f t="shared" si="6"/>
        <v>221340</v>
      </c>
      <c r="F24" s="41">
        <f t="shared" si="6"/>
        <v>442680</v>
      </c>
      <c r="G24" s="41">
        <f t="shared" si="6"/>
        <v>0</v>
      </c>
      <c r="H24" s="41">
        <f t="shared" si="6"/>
        <v>0</v>
      </c>
      <c r="I24" s="41">
        <f t="shared" si="6"/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35">
      <c r="A25" s="83" t="s">
        <v>479</v>
      </c>
      <c r="B25" s="104" t="s">
        <v>193</v>
      </c>
      <c r="C25" s="41">
        <f>SUM(D25:I25)</f>
        <v>221340</v>
      </c>
      <c r="D25" s="42">
        <f>'Б1.1.1'!B23*'Б1.1.1'!B19*'Б1.1.1'!B41</f>
        <v>221340</v>
      </c>
      <c r="E25" s="42">
        <v>0</v>
      </c>
      <c r="F25" s="42">
        <v>0</v>
      </c>
      <c r="G25" s="43"/>
      <c r="H25" s="43"/>
      <c r="I25" s="4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35">
      <c r="A26" s="83" t="s">
        <v>480</v>
      </c>
      <c r="B26" s="104" t="s">
        <v>194</v>
      </c>
      <c r="C26" s="41">
        <f>SUM(D26:I26)</f>
        <v>332010</v>
      </c>
      <c r="D26" s="42">
        <f>'Б1.1.1'!B23*'Б1.1.1'!B20*'Б1.1.1'!B41/2</f>
        <v>110670</v>
      </c>
      <c r="E26" s="42">
        <f>'Б1.1.1'!B23*'Б1.1.1'!B20*'Б1.1.1'!B41</f>
        <v>221340</v>
      </c>
      <c r="F26" s="42">
        <v>0</v>
      </c>
      <c r="G26" s="43"/>
      <c r="H26" s="43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35">
      <c r="A27" s="83" t="s">
        <v>481</v>
      </c>
      <c r="B27" s="104" t="s">
        <v>195</v>
      </c>
      <c r="C27" s="41">
        <f>SUM(D27:I27)</f>
        <v>221340</v>
      </c>
      <c r="D27" s="42">
        <v>0</v>
      </c>
      <c r="E27" s="42">
        <v>0</v>
      </c>
      <c r="F27" s="42">
        <f>'Б1.1.1'!B23*'Б1.1.1'!B21*'Б1.1.1'!B41</f>
        <v>221340</v>
      </c>
      <c r="G27" s="43"/>
      <c r="H27" s="43"/>
      <c r="I27" s="4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35">
      <c r="A28" s="83" t="s">
        <v>482</v>
      </c>
      <c r="B28" s="104" t="s">
        <v>196</v>
      </c>
      <c r="C28" s="41">
        <f>SUM(D28:I28)</f>
        <v>221340</v>
      </c>
      <c r="D28" s="42">
        <v>0</v>
      </c>
      <c r="E28" s="42">
        <v>0</v>
      </c>
      <c r="F28" s="42">
        <f>'Б1.1.1'!B23*'Б1.1.1'!B22*'Б1.1.1'!B41</f>
        <v>221340</v>
      </c>
      <c r="G28" s="43"/>
      <c r="H28" s="43"/>
      <c r="I28" s="4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2" collapsed="1" x14ac:dyDescent="0.35">
      <c r="A29" s="7" t="s">
        <v>177</v>
      </c>
      <c r="B29" s="104" t="s">
        <v>197</v>
      </c>
      <c r="C29" s="41">
        <f>SUM(C30:C33)</f>
        <v>0</v>
      </c>
      <c r="D29" s="41">
        <f t="shared" ref="D29:I29" si="7">D30+D31+D32+D33</f>
        <v>0</v>
      </c>
      <c r="E29" s="41">
        <f t="shared" si="7"/>
        <v>0</v>
      </c>
      <c r="F29" s="41">
        <f t="shared" si="7"/>
        <v>0</v>
      </c>
      <c r="G29" s="41">
        <f t="shared" si="7"/>
        <v>0</v>
      </c>
      <c r="H29" s="41">
        <f t="shared" si="7"/>
        <v>0</v>
      </c>
      <c r="I29" s="41">
        <f t="shared" si="7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hidden="1" customHeight="1" outlineLevel="1" x14ac:dyDescent="0.35">
      <c r="A30" s="83" t="s">
        <v>479</v>
      </c>
      <c r="B30" s="104" t="s">
        <v>198</v>
      </c>
      <c r="C30" s="41">
        <f>SUM(D30:H31)</f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hidden="1" customHeight="1" outlineLevel="1" x14ac:dyDescent="0.35">
      <c r="A31" s="83" t="s">
        <v>480</v>
      </c>
      <c r="B31" s="104" t="s">
        <v>199</v>
      </c>
      <c r="C31" s="41">
        <f>SUM(D31:H32)</f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hidden="1" customHeight="1" outlineLevel="1" x14ac:dyDescent="0.35">
      <c r="A32" s="83" t="s">
        <v>481</v>
      </c>
      <c r="B32" s="104" t="s">
        <v>200</v>
      </c>
      <c r="C32" s="41">
        <f>SUM(D32:H33)</f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hidden="1" customHeight="1" outlineLevel="1" x14ac:dyDescent="0.35">
      <c r="A33" s="83" t="s">
        <v>482</v>
      </c>
      <c r="B33" s="104" t="s">
        <v>201</v>
      </c>
      <c r="C33" s="41">
        <f>SUM(D33:H33)</f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1.5" customHeight="1" x14ac:dyDescent="0.3">
      <c r="A34" s="16" t="s">
        <v>483</v>
      </c>
      <c r="B34" s="104" t="s">
        <v>444</v>
      </c>
      <c r="C34" s="40">
        <f t="shared" ref="C34:H34" si="8">SUM(C35:C38)</f>
        <v>7200</v>
      </c>
      <c r="D34" s="40">
        <f t="shared" si="8"/>
        <v>2400</v>
      </c>
      <c r="E34" s="40">
        <f t="shared" si="8"/>
        <v>2400</v>
      </c>
      <c r="F34" s="40">
        <f t="shared" si="8"/>
        <v>2400</v>
      </c>
      <c r="G34" s="40">
        <f t="shared" si="8"/>
        <v>0</v>
      </c>
      <c r="H34" s="40">
        <f t="shared" si="8"/>
        <v>0</v>
      </c>
      <c r="I34" s="40">
        <f>SUM(I35:I38)</f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2" x14ac:dyDescent="0.25">
      <c r="A35" s="10" t="s">
        <v>484</v>
      </c>
      <c r="B35" s="104" t="s">
        <v>202</v>
      </c>
      <c r="C35" s="41">
        <f>SUM(D35:I35)</f>
        <v>0</v>
      </c>
      <c r="D35" s="42">
        <v>0</v>
      </c>
      <c r="E35" s="42">
        <v>0</v>
      </c>
      <c r="F35" s="42">
        <v>0</v>
      </c>
      <c r="G35" s="43"/>
      <c r="H35" s="43"/>
      <c r="I35" s="4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6.5" x14ac:dyDescent="0.35">
      <c r="A36" s="7" t="s">
        <v>485</v>
      </c>
      <c r="B36" s="104" t="s">
        <v>203</v>
      </c>
      <c r="C36" s="41">
        <f>SUM(D36:I36)</f>
        <v>0</v>
      </c>
      <c r="D36" s="42">
        <v>0</v>
      </c>
      <c r="E36" s="42">
        <v>0</v>
      </c>
      <c r="F36" s="42">
        <v>0</v>
      </c>
      <c r="G36" s="43"/>
      <c r="H36" s="43"/>
      <c r="I36" s="4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6.5" x14ac:dyDescent="0.35">
      <c r="A37" s="7" t="s">
        <v>486</v>
      </c>
      <c r="B37" s="104" t="s">
        <v>204</v>
      </c>
      <c r="C37" s="41">
        <f>SUM(D37:I37)</f>
        <v>7200</v>
      </c>
      <c r="D37" s="42">
        <f>'Б1.1.1'!$B$40</f>
        <v>2400</v>
      </c>
      <c r="E37" s="42">
        <f>'Б1.1.1'!$B$40</f>
        <v>2400</v>
      </c>
      <c r="F37" s="42">
        <f>'Б1.1.1'!$B$40</f>
        <v>2400</v>
      </c>
      <c r="G37" s="43"/>
      <c r="H37" s="43"/>
      <c r="I37" s="4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6.75" customHeight="1" x14ac:dyDescent="0.35">
      <c r="A38" s="7" t="s">
        <v>487</v>
      </c>
      <c r="B38" s="104" t="s">
        <v>205</v>
      </c>
      <c r="C38" s="41">
        <f>SUM(D38:I38)</f>
        <v>0</v>
      </c>
      <c r="D38" s="42">
        <v>0</v>
      </c>
      <c r="E38" s="42">
        <v>0</v>
      </c>
      <c r="F38" s="42">
        <v>0</v>
      </c>
      <c r="G38" s="43"/>
      <c r="H38" s="43"/>
      <c r="I38" s="4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2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2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2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2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2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2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2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2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2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2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2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2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2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2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2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2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2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2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2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2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2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2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2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2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2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2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2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2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2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2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2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2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2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2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2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2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2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2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2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2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2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2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2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2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2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2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2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2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2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2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2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2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2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2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2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2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2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2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2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2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2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2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2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2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2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2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2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2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2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2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2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2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2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2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2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2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2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2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2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2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2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2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2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2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2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2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2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2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2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2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2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2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2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2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2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2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2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2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2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2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2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2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2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2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2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2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2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2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2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2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2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2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2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2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2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2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2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2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2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2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2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2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2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2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2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2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2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2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2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2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2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2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2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2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2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2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2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2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2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2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2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2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2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2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2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2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2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2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2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2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2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2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2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2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2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2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2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2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2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2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2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2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2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2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2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2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2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2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2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2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2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2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2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2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2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2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2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2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2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2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2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2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2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2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2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2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2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2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2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2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2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2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2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2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2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2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2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2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2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2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5">
    <mergeCell ref="A3:I3"/>
    <mergeCell ref="A5:A6"/>
    <mergeCell ref="B5:B6"/>
    <mergeCell ref="C5:C6"/>
    <mergeCell ref="D5:I5"/>
  </mergeCells>
  <phoneticPr fontId="35" type="noConversion"/>
  <pageMargins left="0.7" right="0.7" top="0.75" bottom="0.75" header="0" footer="0"/>
  <pageSetup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CC00"/>
    <outlinePr summaryBelow="0" summaryRight="0"/>
  </sheetPr>
  <dimension ref="A1:AL1001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16" sqref="A16:XFD21"/>
    </sheetView>
  </sheetViews>
  <sheetFormatPr defaultColWidth="12.54296875" defaultRowHeight="15" customHeight="1" outlineLevelRow="1" outlineLevelCol="1" x14ac:dyDescent="0.25"/>
  <cols>
    <col min="1" max="1" width="36" customWidth="1"/>
    <col min="2" max="2" width="8.453125" customWidth="1"/>
    <col min="3" max="3" width="11.90625" customWidth="1"/>
    <col min="4" max="4" width="10.6328125" customWidth="1"/>
    <col min="5" max="16" width="10.36328125" customWidth="1" outlineLevel="1"/>
    <col min="17" max="17" width="10.36328125" customWidth="1"/>
    <col min="18" max="18" width="10.54296875" customWidth="1"/>
    <col min="19" max="19" width="10.36328125" customWidth="1"/>
    <col min="20" max="20" width="11" customWidth="1"/>
    <col min="21" max="38" width="7" customWidth="1"/>
  </cols>
  <sheetData>
    <row r="1" spans="1:38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247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 x14ac:dyDescent="0.25">
      <c r="A3" s="3" t="s">
        <v>557</v>
      </c>
      <c r="B3" s="1"/>
      <c r="C3" s="1"/>
      <c r="D3" s="1"/>
      <c r="E3" s="1"/>
      <c r="F3" s="1"/>
      <c r="G3" s="1"/>
      <c r="H3" s="8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6.5" customHeight="1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7.25" customHeight="1" x14ac:dyDescent="0.25">
      <c r="A5" s="197" t="s">
        <v>452</v>
      </c>
      <c r="B5" s="188" t="s">
        <v>558</v>
      </c>
      <c r="C5" s="192" t="s">
        <v>553</v>
      </c>
      <c r="D5" s="199" t="s">
        <v>559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7.25" customHeight="1" x14ac:dyDescent="0.25">
      <c r="A6" s="198"/>
      <c r="B6" s="189"/>
      <c r="C6" s="193"/>
      <c r="D6" s="199" t="s">
        <v>136</v>
      </c>
      <c r="E6" s="206" t="s">
        <v>31</v>
      </c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9"/>
      <c r="Q6" s="217">
        <v>2</v>
      </c>
      <c r="R6" s="191">
        <v>3</v>
      </c>
      <c r="S6" s="191">
        <v>4</v>
      </c>
      <c r="T6" s="191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33.75" customHeight="1" x14ac:dyDescent="0.25">
      <c r="A7" s="194"/>
      <c r="B7" s="194"/>
      <c r="C7" s="194"/>
      <c r="D7" s="200"/>
      <c r="E7" s="159" t="s">
        <v>3</v>
      </c>
      <c r="F7" s="159" t="s">
        <v>4</v>
      </c>
      <c r="G7" s="159" t="s">
        <v>5</v>
      </c>
      <c r="H7" s="86" t="s">
        <v>42</v>
      </c>
      <c r="I7" s="86" t="s">
        <v>43</v>
      </c>
      <c r="J7" s="86" t="s">
        <v>44</v>
      </c>
      <c r="K7" s="86" t="s">
        <v>45</v>
      </c>
      <c r="L7" s="86" t="s">
        <v>46</v>
      </c>
      <c r="M7" s="86" t="s">
        <v>47</v>
      </c>
      <c r="N7" s="86" t="s">
        <v>48</v>
      </c>
      <c r="O7" s="86" t="s">
        <v>49</v>
      </c>
      <c r="P7" s="86" t="s">
        <v>50</v>
      </c>
      <c r="Q7" s="218"/>
      <c r="R7" s="191">
        <v>3</v>
      </c>
      <c r="S7" s="191"/>
      <c r="T7" s="19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31.5" customHeight="1" x14ac:dyDescent="0.25">
      <c r="A8" s="6" t="s">
        <v>457</v>
      </c>
      <c r="B8" s="104" t="s">
        <v>451</v>
      </c>
      <c r="C8" s="39">
        <f t="shared" ref="C8:T8" si="0">C9+C16+C21+C33+C26</f>
        <v>1046570.9375</v>
      </c>
      <c r="D8" s="39">
        <f t="shared" si="0"/>
        <v>285428.4375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30792.020833333332</v>
      </c>
      <c r="I8" s="39">
        <f t="shared" si="0"/>
        <v>30792.020833333332</v>
      </c>
      <c r="J8" s="39">
        <f t="shared" si="0"/>
        <v>33558.770833333336</v>
      </c>
      <c r="K8" s="39">
        <f t="shared" si="0"/>
        <v>30792.020833333332</v>
      </c>
      <c r="L8" s="39">
        <f t="shared" si="0"/>
        <v>30792.020833333332</v>
      </c>
      <c r="M8" s="39">
        <f t="shared" si="0"/>
        <v>33558.770833333336</v>
      </c>
      <c r="N8" s="39">
        <f t="shared" si="0"/>
        <v>30792.020833333332</v>
      </c>
      <c r="O8" s="39">
        <f t="shared" si="0"/>
        <v>30792.020833333332</v>
      </c>
      <c r="P8" s="39">
        <f t="shared" si="0"/>
        <v>33558.770833333336</v>
      </c>
      <c r="Q8" s="39">
        <f t="shared" si="0"/>
        <v>380571.25</v>
      </c>
      <c r="R8" s="69">
        <f t="shared" si="0"/>
        <v>380571.25</v>
      </c>
      <c r="S8" s="69">
        <f t="shared" si="0"/>
        <v>0</v>
      </c>
      <c r="T8" s="69">
        <f t="shared" si="0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7.5" x14ac:dyDescent="0.25">
      <c r="A9" s="8" t="s">
        <v>459</v>
      </c>
      <c r="B9" s="104" t="s">
        <v>165</v>
      </c>
      <c r="C9" s="40">
        <f t="shared" ref="C9:T9" si="1">SUM(C10:C15)</f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40">
        <f t="shared" si="1"/>
        <v>0</v>
      </c>
      <c r="I9" s="40">
        <f t="shared" si="1"/>
        <v>0</v>
      </c>
      <c r="J9" s="40">
        <f t="shared" si="1"/>
        <v>0</v>
      </c>
      <c r="K9" s="40">
        <f t="shared" si="1"/>
        <v>0</v>
      </c>
      <c r="L9" s="40">
        <f t="shared" si="1"/>
        <v>0</v>
      </c>
      <c r="M9" s="40">
        <f t="shared" si="1"/>
        <v>0</v>
      </c>
      <c r="N9" s="40">
        <f t="shared" si="1"/>
        <v>0</v>
      </c>
      <c r="O9" s="40">
        <f t="shared" si="1"/>
        <v>0</v>
      </c>
      <c r="P9" s="40">
        <f t="shared" si="1"/>
        <v>0</v>
      </c>
      <c r="Q9" s="40">
        <f t="shared" si="1"/>
        <v>0</v>
      </c>
      <c r="R9" s="40">
        <f t="shared" si="1"/>
        <v>0</v>
      </c>
      <c r="S9" s="40">
        <f t="shared" si="1"/>
        <v>0</v>
      </c>
      <c r="T9" s="40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1.5" customHeight="1" outlineLevel="1" x14ac:dyDescent="0.35">
      <c r="A10" s="7" t="s">
        <v>460</v>
      </c>
      <c r="B10" s="104" t="s">
        <v>184</v>
      </c>
      <c r="C10" s="41">
        <f>D10+Q10+R10+S10+T10</f>
        <v>0</v>
      </c>
      <c r="D10" s="41">
        <f>SUM(E10:P10)</f>
        <v>0</v>
      </c>
      <c r="E10" s="43"/>
      <c r="F10" s="43"/>
      <c r="G10" s="43"/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/>
      <c r="T10" s="4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47.25" customHeight="1" outlineLevel="1" x14ac:dyDescent="0.25">
      <c r="A11" s="10" t="s">
        <v>463</v>
      </c>
      <c r="B11" s="104" t="s">
        <v>185</v>
      </c>
      <c r="C11" s="41">
        <f t="shared" ref="C11:C25" si="2">D11+Q11+R11+S11+T11</f>
        <v>0</v>
      </c>
      <c r="D11" s="41">
        <f t="shared" ref="D11:D25" si="3">SUM(E11:P11)</f>
        <v>0</v>
      </c>
      <c r="E11" s="43">
        <v>0</v>
      </c>
      <c r="F11" s="43">
        <v>0</v>
      </c>
      <c r="G11" s="43">
        <v>0</v>
      </c>
      <c r="H11" s="42">
        <f>('Б1.1.1'!$B$24*'Б1.1.1'!$B$25)/'Б1.1.1'!$B$5</f>
        <v>0</v>
      </c>
      <c r="I11" s="42">
        <f>('Б1.1.1'!$B$24*'Б1.1.1'!$B$25)/'Б1.1.1'!$B$5</f>
        <v>0</v>
      </c>
      <c r="J11" s="42">
        <f>('Б1.1.1'!$B$24*'Б1.1.1'!$B$25)/'Б1.1.1'!$B$5</f>
        <v>0</v>
      </c>
      <c r="K11" s="42">
        <f>('Б1.1.1'!$B$24*'Б1.1.1'!$B$25)/'Б1.1.1'!$B$5</f>
        <v>0</v>
      </c>
      <c r="L11" s="42">
        <f>('Б1.1.1'!$B$24*'Б1.1.1'!$B$25)/'Б1.1.1'!$B$5</f>
        <v>0</v>
      </c>
      <c r="M11" s="42">
        <f>('Б1.1.1'!$B$24*'Б1.1.1'!$B$25)/'Б1.1.1'!$B$5</f>
        <v>0</v>
      </c>
      <c r="N11" s="42">
        <f>('Б1.1.1'!$B$24*'Б1.1.1'!$B$25)/'Б1.1.1'!$B$5</f>
        <v>0</v>
      </c>
      <c r="O11" s="42">
        <f>('Б1.1.1'!$B$24*'Б1.1.1'!$B$25)/'Б1.1.1'!$B$5</f>
        <v>0</v>
      </c>
      <c r="P11" s="42">
        <f>('Б1.1.1'!$B$24*'Б1.1.1'!$B$25)/'Б1.1.1'!$B$5</f>
        <v>0</v>
      </c>
      <c r="Q11" s="42">
        <f>P11*12</f>
        <v>0</v>
      </c>
      <c r="R11" s="42">
        <f>P11*12</f>
        <v>0</v>
      </c>
      <c r="S11" s="42"/>
      <c r="T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34.5" customHeight="1" outlineLevel="1" x14ac:dyDescent="0.25">
      <c r="A12" s="10" t="s">
        <v>152</v>
      </c>
      <c r="B12" s="104" t="s">
        <v>186</v>
      </c>
      <c r="C12" s="41">
        <f t="shared" si="2"/>
        <v>0</v>
      </c>
      <c r="D12" s="41">
        <f t="shared" si="3"/>
        <v>0</v>
      </c>
      <c r="E12" s="43"/>
      <c r="F12" s="43"/>
      <c r="G12" s="43"/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/>
      <c r="T12" s="4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31" outlineLevel="1" x14ac:dyDescent="0.25">
      <c r="A13" s="10" t="s">
        <v>560</v>
      </c>
      <c r="B13" s="104" t="s">
        <v>187</v>
      </c>
      <c r="C13" s="41">
        <f t="shared" si="2"/>
        <v>0</v>
      </c>
      <c r="D13" s="41">
        <f t="shared" si="3"/>
        <v>0</v>
      </c>
      <c r="E13" s="43"/>
      <c r="F13" s="43"/>
      <c r="G13" s="43"/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/>
      <c r="T13" s="4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34" outlineLevel="1" x14ac:dyDescent="0.35">
      <c r="A14" s="7" t="s">
        <v>159</v>
      </c>
      <c r="B14" s="104" t="s">
        <v>188</v>
      </c>
      <c r="C14" s="41">
        <f t="shared" si="2"/>
        <v>0</v>
      </c>
      <c r="D14" s="41">
        <f t="shared" si="3"/>
        <v>0</v>
      </c>
      <c r="E14" s="43"/>
      <c r="F14" s="43"/>
      <c r="G14" s="43"/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/>
      <c r="T14" s="4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31.5" customHeight="1" outlineLevel="1" x14ac:dyDescent="0.35">
      <c r="A15" s="7" t="s">
        <v>561</v>
      </c>
      <c r="B15" s="104" t="s">
        <v>189</v>
      </c>
      <c r="C15" s="41">
        <f t="shared" si="2"/>
        <v>0</v>
      </c>
      <c r="D15" s="41">
        <f t="shared" si="3"/>
        <v>0</v>
      </c>
      <c r="E15" s="43"/>
      <c r="F15" s="43"/>
      <c r="G15" s="43"/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/>
      <c r="T15" s="4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30" x14ac:dyDescent="0.3">
      <c r="A16" s="16" t="s">
        <v>470</v>
      </c>
      <c r="B16" s="104" t="s">
        <v>238</v>
      </c>
      <c r="C16" s="41">
        <f t="shared" si="2"/>
        <v>38660.1875</v>
      </c>
      <c r="D16" s="40">
        <f t="shared" ref="D16:T16" si="4">SUM(D17:D20)</f>
        <v>10543.6875</v>
      </c>
      <c r="E16" s="40">
        <f t="shared" si="4"/>
        <v>0</v>
      </c>
      <c r="F16" s="40">
        <f t="shared" si="4"/>
        <v>0</v>
      </c>
      <c r="G16" s="40">
        <f t="shared" si="4"/>
        <v>0</v>
      </c>
      <c r="H16" s="40">
        <f t="shared" si="4"/>
        <v>1171.5208333333333</v>
      </c>
      <c r="I16" s="40">
        <f t="shared" si="4"/>
        <v>1171.5208333333333</v>
      </c>
      <c r="J16" s="40">
        <f t="shared" si="4"/>
        <v>1171.5208333333333</v>
      </c>
      <c r="K16" s="40">
        <f t="shared" si="4"/>
        <v>1171.5208333333333</v>
      </c>
      <c r="L16" s="40">
        <f t="shared" si="4"/>
        <v>1171.5208333333333</v>
      </c>
      <c r="M16" s="40">
        <f t="shared" si="4"/>
        <v>1171.5208333333333</v>
      </c>
      <c r="N16" s="40">
        <f t="shared" si="4"/>
        <v>1171.5208333333333</v>
      </c>
      <c r="O16" s="40">
        <f t="shared" si="4"/>
        <v>1171.5208333333333</v>
      </c>
      <c r="P16" s="40">
        <f t="shared" si="4"/>
        <v>1171.5208333333333</v>
      </c>
      <c r="Q16" s="40">
        <f t="shared" si="4"/>
        <v>14058.25</v>
      </c>
      <c r="R16" s="40">
        <f t="shared" si="4"/>
        <v>14058.25</v>
      </c>
      <c r="S16" s="40">
        <f t="shared" si="4"/>
        <v>0</v>
      </c>
      <c r="T16" s="40">
        <f t="shared" si="4"/>
        <v>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31.5" customHeight="1" outlineLevel="1" x14ac:dyDescent="0.25">
      <c r="A17" s="10" t="s">
        <v>471</v>
      </c>
      <c r="B17" s="104" t="s">
        <v>180</v>
      </c>
      <c r="C17" s="41">
        <f t="shared" si="2"/>
        <v>0</v>
      </c>
      <c r="D17" s="41">
        <f t="shared" si="3"/>
        <v>0</v>
      </c>
      <c r="E17" s="43"/>
      <c r="F17" s="43"/>
      <c r="G17" s="4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47.25" customHeight="1" outlineLevel="1" x14ac:dyDescent="0.25">
      <c r="A18" s="10" t="s">
        <v>473</v>
      </c>
      <c r="B18" s="104" t="s">
        <v>181</v>
      </c>
      <c r="C18" s="41">
        <f t="shared" si="2"/>
        <v>38660.1875</v>
      </c>
      <c r="D18" s="41">
        <f t="shared" si="3"/>
        <v>10543.6875</v>
      </c>
      <c r="E18" s="43">
        <v>0</v>
      </c>
      <c r="F18" s="43">
        <v>0</v>
      </c>
      <c r="G18" s="43">
        <v>0</v>
      </c>
      <c r="H18" s="42">
        <f>'Б1.1.1'!$B$47/'Б1.1.1'!$B$18</f>
        <v>1171.5208333333333</v>
      </c>
      <c r="I18" s="42">
        <f>'Б1.1.1'!$B$47/'Б1.1.1'!$B$18</f>
        <v>1171.5208333333333</v>
      </c>
      <c r="J18" s="42">
        <f>'Б1.1.1'!$B$47/'Б1.1.1'!$B$18</f>
        <v>1171.5208333333333</v>
      </c>
      <c r="K18" s="42">
        <f>'Б1.1.1'!$B$47/'Б1.1.1'!$B$18</f>
        <v>1171.5208333333333</v>
      </c>
      <c r="L18" s="42">
        <f>'Б1.1.1'!$B$47/'Б1.1.1'!$B$18</f>
        <v>1171.5208333333333</v>
      </c>
      <c r="M18" s="42">
        <f>'Б1.1.1'!$B$47/'Б1.1.1'!$B$18</f>
        <v>1171.5208333333333</v>
      </c>
      <c r="N18" s="42">
        <f>'Б1.1.1'!$B$47/'Б1.1.1'!$B$18</f>
        <v>1171.5208333333333</v>
      </c>
      <c r="O18" s="42">
        <f>'Б1.1.1'!$B$47/'Б1.1.1'!$B$18</f>
        <v>1171.5208333333333</v>
      </c>
      <c r="P18" s="42">
        <f>'Б1.1.1'!$B$47/'Б1.1.1'!$B$18</f>
        <v>1171.5208333333333</v>
      </c>
      <c r="Q18" s="42">
        <f>P18*12</f>
        <v>14058.25</v>
      </c>
      <c r="R18" s="42">
        <f>P18*12</f>
        <v>14058.25</v>
      </c>
      <c r="S18" s="42"/>
      <c r="T18" s="42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31.5" customHeight="1" outlineLevel="1" x14ac:dyDescent="0.35">
      <c r="A19" s="7" t="s">
        <v>475</v>
      </c>
      <c r="B19" s="104" t="s">
        <v>182</v>
      </c>
      <c r="C19" s="41">
        <f t="shared" si="2"/>
        <v>0</v>
      </c>
      <c r="D19" s="41">
        <f t="shared" si="3"/>
        <v>0</v>
      </c>
      <c r="E19" s="43"/>
      <c r="F19" s="43"/>
      <c r="G19" s="43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47.25" customHeight="1" outlineLevel="1" x14ac:dyDescent="0.35">
      <c r="A20" s="7" t="s">
        <v>476</v>
      </c>
      <c r="B20" s="104" t="s">
        <v>183</v>
      </c>
      <c r="C20" s="41">
        <f t="shared" si="2"/>
        <v>0</v>
      </c>
      <c r="D20" s="41">
        <f t="shared" si="3"/>
        <v>0</v>
      </c>
      <c r="E20" s="43"/>
      <c r="F20" s="43"/>
      <c r="G20" s="43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28.5" customHeight="1" x14ac:dyDescent="0.25">
      <c r="A21" s="5" t="s">
        <v>478</v>
      </c>
      <c r="B21" s="104" t="s">
        <v>449</v>
      </c>
      <c r="C21" s="40">
        <f t="shared" ref="C21:T21" si="5">SUM(C22:C25)</f>
        <v>64449</v>
      </c>
      <c r="D21" s="40">
        <f t="shared" si="5"/>
        <v>17577</v>
      </c>
      <c r="E21" s="40">
        <f t="shared" si="5"/>
        <v>0</v>
      </c>
      <c r="F21" s="40">
        <f t="shared" si="5"/>
        <v>0</v>
      </c>
      <c r="G21" s="40">
        <f t="shared" si="5"/>
        <v>0</v>
      </c>
      <c r="H21" s="40">
        <f t="shared" si="5"/>
        <v>1953</v>
      </c>
      <c r="I21" s="40">
        <f t="shared" si="5"/>
        <v>1953</v>
      </c>
      <c r="J21" s="40">
        <f t="shared" si="5"/>
        <v>1953</v>
      </c>
      <c r="K21" s="40">
        <f t="shared" si="5"/>
        <v>1953</v>
      </c>
      <c r="L21" s="40">
        <f t="shared" si="5"/>
        <v>1953</v>
      </c>
      <c r="M21" s="40">
        <f t="shared" si="5"/>
        <v>1953</v>
      </c>
      <c r="N21" s="40">
        <f t="shared" si="5"/>
        <v>1953</v>
      </c>
      <c r="O21" s="40">
        <f t="shared" si="5"/>
        <v>1953</v>
      </c>
      <c r="P21" s="40">
        <f t="shared" si="5"/>
        <v>1953</v>
      </c>
      <c r="Q21" s="40">
        <f t="shared" si="5"/>
        <v>23436</v>
      </c>
      <c r="R21" s="40">
        <f t="shared" si="5"/>
        <v>23436</v>
      </c>
      <c r="S21" s="40">
        <f t="shared" si="5"/>
        <v>0</v>
      </c>
      <c r="T21" s="40">
        <f t="shared" si="5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45" customHeight="1" x14ac:dyDescent="0.25">
      <c r="A22" s="20" t="s">
        <v>208</v>
      </c>
      <c r="B22" s="104" t="s">
        <v>190</v>
      </c>
      <c r="C22" s="41">
        <f t="shared" si="2"/>
        <v>64449</v>
      </c>
      <c r="D22" s="41">
        <f t="shared" si="3"/>
        <v>17577</v>
      </c>
      <c r="E22" s="43"/>
      <c r="F22" s="43"/>
      <c r="G22" s="43"/>
      <c r="H22" s="42">
        <f>'Б1.1.1'!$B$33*'Б1.1.1'!$B$31*'Б1.1.1'!$B$30*'Б1.1.1'!$B$41</f>
        <v>1953</v>
      </c>
      <c r="I22" s="42">
        <f>'Б1.1.1'!$B$33*'Б1.1.1'!$B$31*'Б1.1.1'!$B$30*'Б1.1.1'!$B$41</f>
        <v>1953</v>
      </c>
      <c r="J22" s="42">
        <f>'Б1.1.1'!$B$33*'Б1.1.1'!$B$31*'Б1.1.1'!$B$30*'Б1.1.1'!$B$41</f>
        <v>1953</v>
      </c>
      <c r="K22" s="42">
        <f>'Б1.1.1'!$B$33*'Б1.1.1'!$B$31*'Б1.1.1'!$B$30*'Б1.1.1'!$B$41</f>
        <v>1953</v>
      </c>
      <c r="L22" s="42">
        <f>'Б1.1.1'!$B$33*'Б1.1.1'!$B$31*'Б1.1.1'!$B$30*'Б1.1.1'!$B$41</f>
        <v>1953</v>
      </c>
      <c r="M22" s="42">
        <f>'Б1.1.1'!$B$33*'Б1.1.1'!$B$31*'Б1.1.1'!$B$30*'Б1.1.1'!$B$41</f>
        <v>1953</v>
      </c>
      <c r="N22" s="42">
        <f>'Б1.1.1'!$B$33*'Б1.1.1'!$B$31*'Б1.1.1'!$B$30*'Б1.1.1'!$B$41</f>
        <v>1953</v>
      </c>
      <c r="O22" s="42">
        <f>'Б1.1.1'!$B$33*'Б1.1.1'!$B$31*'Б1.1.1'!$B$30*'Б1.1.1'!$B$41</f>
        <v>1953</v>
      </c>
      <c r="P22" s="42">
        <f>'Б1.1.1'!$B$33*'Б1.1.1'!$B$31*'Б1.1.1'!$B$30*'Б1.1.1'!$B$41</f>
        <v>1953</v>
      </c>
      <c r="Q22" s="42">
        <f>P22*12</f>
        <v>23436</v>
      </c>
      <c r="R22" s="42">
        <f>P22*12</f>
        <v>23436</v>
      </c>
      <c r="S22" s="42"/>
      <c r="T22" s="42"/>
      <c r="U22" s="1" t="s">
        <v>160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42" x14ac:dyDescent="0.3">
      <c r="A23" s="19" t="s">
        <v>497</v>
      </c>
      <c r="B23" s="104" t="s">
        <v>191</v>
      </c>
      <c r="C23" s="41">
        <f t="shared" si="2"/>
        <v>0</v>
      </c>
      <c r="D23" s="41">
        <f t="shared" si="3"/>
        <v>0</v>
      </c>
      <c r="E23" s="43"/>
      <c r="F23" s="43"/>
      <c r="G23" s="4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42" x14ac:dyDescent="0.3">
      <c r="A24" s="19" t="s">
        <v>498</v>
      </c>
      <c r="B24" s="104" t="s">
        <v>206</v>
      </c>
      <c r="C24" s="41">
        <f t="shared" si="2"/>
        <v>0</v>
      </c>
      <c r="D24" s="41">
        <f t="shared" si="3"/>
        <v>0</v>
      </c>
      <c r="E24" s="43"/>
      <c r="F24" s="43"/>
      <c r="G24" s="43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50.25" customHeight="1" x14ac:dyDescent="0.3">
      <c r="A25" s="19" t="s">
        <v>499</v>
      </c>
      <c r="B25" s="104" t="s">
        <v>207</v>
      </c>
      <c r="C25" s="41">
        <f t="shared" si="2"/>
        <v>0</v>
      </c>
      <c r="D25" s="41">
        <f t="shared" si="3"/>
        <v>0</v>
      </c>
      <c r="E25" s="43"/>
      <c r="F25" s="43"/>
      <c r="G25" s="43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42.75" customHeight="1" x14ac:dyDescent="0.25">
      <c r="A26" s="5" t="s">
        <v>500</v>
      </c>
      <c r="B26" s="104" t="s">
        <v>445</v>
      </c>
      <c r="C26" s="40">
        <f t="shared" ref="C26:T26" si="6">C27+C30</f>
        <v>943461.75</v>
      </c>
      <c r="D26" s="40">
        <f t="shared" si="6"/>
        <v>257307.75</v>
      </c>
      <c r="E26" s="40">
        <f t="shared" si="6"/>
        <v>0</v>
      </c>
      <c r="F26" s="40">
        <f t="shared" si="6"/>
        <v>0</v>
      </c>
      <c r="G26" s="40">
        <f t="shared" si="6"/>
        <v>0</v>
      </c>
      <c r="H26" s="40">
        <f t="shared" si="6"/>
        <v>27667.5</v>
      </c>
      <c r="I26" s="40">
        <f t="shared" si="6"/>
        <v>27667.5</v>
      </c>
      <c r="J26" s="40">
        <f t="shared" si="6"/>
        <v>30434.25</v>
      </c>
      <c r="K26" s="40">
        <f t="shared" si="6"/>
        <v>27667.5</v>
      </c>
      <c r="L26" s="40">
        <f t="shared" si="6"/>
        <v>27667.5</v>
      </c>
      <c r="M26" s="40">
        <f t="shared" si="6"/>
        <v>30434.25</v>
      </c>
      <c r="N26" s="40">
        <f t="shared" si="6"/>
        <v>27667.5</v>
      </c>
      <c r="O26" s="40">
        <f t="shared" si="6"/>
        <v>27667.5</v>
      </c>
      <c r="P26" s="40">
        <f t="shared" si="6"/>
        <v>30434.25</v>
      </c>
      <c r="Q26" s="40">
        <f t="shared" si="6"/>
        <v>343077</v>
      </c>
      <c r="R26" s="40">
        <f t="shared" si="6"/>
        <v>343077</v>
      </c>
      <c r="S26" s="40">
        <f t="shared" si="6"/>
        <v>0</v>
      </c>
      <c r="T26" s="40">
        <f t="shared" si="6"/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77.5" x14ac:dyDescent="0.25">
      <c r="A27" s="10" t="s">
        <v>243</v>
      </c>
      <c r="B27" s="104" t="s">
        <v>192</v>
      </c>
      <c r="C27" s="41">
        <f t="shared" ref="C27:T27" si="7">C28+C29</f>
        <v>943461.75</v>
      </c>
      <c r="D27" s="41">
        <f t="shared" si="7"/>
        <v>257307.75</v>
      </c>
      <c r="E27" s="41">
        <f t="shared" si="7"/>
        <v>0</v>
      </c>
      <c r="F27" s="41">
        <f t="shared" si="7"/>
        <v>0</v>
      </c>
      <c r="G27" s="41">
        <f t="shared" si="7"/>
        <v>0</v>
      </c>
      <c r="H27" s="41">
        <f t="shared" si="7"/>
        <v>27667.5</v>
      </c>
      <c r="I27" s="41">
        <f t="shared" si="7"/>
        <v>27667.5</v>
      </c>
      <c r="J27" s="41">
        <f t="shared" si="7"/>
        <v>30434.25</v>
      </c>
      <c r="K27" s="41">
        <f t="shared" si="7"/>
        <v>27667.5</v>
      </c>
      <c r="L27" s="41">
        <f t="shared" si="7"/>
        <v>27667.5</v>
      </c>
      <c r="M27" s="41">
        <f t="shared" si="7"/>
        <v>30434.25</v>
      </c>
      <c r="N27" s="41">
        <f t="shared" si="7"/>
        <v>27667.5</v>
      </c>
      <c r="O27" s="41">
        <f t="shared" si="7"/>
        <v>27667.5</v>
      </c>
      <c r="P27" s="41">
        <f t="shared" si="7"/>
        <v>30434.25</v>
      </c>
      <c r="Q27" s="41">
        <f t="shared" si="7"/>
        <v>343077</v>
      </c>
      <c r="R27" s="41">
        <f t="shared" si="7"/>
        <v>343077</v>
      </c>
      <c r="S27" s="41">
        <f t="shared" si="7"/>
        <v>0</v>
      </c>
      <c r="T27" s="41">
        <f t="shared" si="7"/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8.75" customHeight="1" x14ac:dyDescent="0.35">
      <c r="A28" s="83" t="s">
        <v>501</v>
      </c>
      <c r="B28" s="104" t="s">
        <v>193</v>
      </c>
      <c r="C28" s="41">
        <f>D28+Q28+R28+S28+T28</f>
        <v>913027.5</v>
      </c>
      <c r="D28" s="41">
        <f>SUM(E28:P28)</f>
        <v>249007.5</v>
      </c>
      <c r="E28" s="43"/>
      <c r="F28" s="43"/>
      <c r="G28" s="43"/>
      <c r="H28" s="42">
        <f>'Б1.1.1'!$B$26*'Б1.1.1'!$B$27*'Б1.1.1'!$B$48*'Б1.1.1'!$B$41</f>
        <v>27667.5</v>
      </c>
      <c r="I28" s="42">
        <f>'Б1.1.1'!$B$26*'Б1.1.1'!$B$27*'Б1.1.1'!$B$48*'Б1.1.1'!$B$41</f>
        <v>27667.5</v>
      </c>
      <c r="J28" s="42">
        <f>'Б1.1.1'!$B$26*'Б1.1.1'!$B$27*'Б1.1.1'!$B$48*'Б1.1.1'!$B$41</f>
        <v>27667.5</v>
      </c>
      <c r="K28" s="42">
        <f>'Б1.1.1'!$B$26*'Б1.1.1'!$B$27*'Б1.1.1'!$B$48*'Б1.1.1'!$B$41</f>
        <v>27667.5</v>
      </c>
      <c r="L28" s="42">
        <f>'Б1.1.1'!$B$26*'Б1.1.1'!$B$27*'Б1.1.1'!$B$48*'Б1.1.1'!$B$41</f>
        <v>27667.5</v>
      </c>
      <c r="M28" s="42">
        <f>'Б1.1.1'!$B$26*'Б1.1.1'!$B$27*'Б1.1.1'!$B$48*'Б1.1.1'!$B$41</f>
        <v>27667.5</v>
      </c>
      <c r="N28" s="42">
        <f>'Б1.1.1'!$B$26*'Б1.1.1'!$B$27*'Б1.1.1'!$B$48*'Б1.1.1'!$B$41</f>
        <v>27667.5</v>
      </c>
      <c r="O28" s="42">
        <f>'Б1.1.1'!$B$26*'Б1.1.1'!$B$27*'Б1.1.1'!$B$48*'Б1.1.1'!$B$41</f>
        <v>27667.5</v>
      </c>
      <c r="P28" s="42">
        <f>'Б1.1.1'!$B$26*'Б1.1.1'!$B$27*'Б1.1.1'!$B$48*'Б1.1.1'!$B$41</f>
        <v>27667.5</v>
      </c>
      <c r="Q28" s="42">
        <f>P28*12</f>
        <v>332010</v>
      </c>
      <c r="R28" s="42">
        <f>P28*12</f>
        <v>332010</v>
      </c>
      <c r="S28" s="42"/>
      <c r="T28" s="42"/>
      <c r="U28" s="1" t="s">
        <v>160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7.5" x14ac:dyDescent="0.35">
      <c r="A29" s="83" t="s">
        <v>502</v>
      </c>
      <c r="B29" s="104" t="s">
        <v>194</v>
      </c>
      <c r="C29" s="41">
        <f>D29+Q29+R29+S29+T29</f>
        <v>30434.25</v>
      </c>
      <c r="D29" s="41">
        <f>SUM(E29:P29)</f>
        <v>8300.25</v>
      </c>
      <c r="E29" s="43"/>
      <c r="F29" s="43"/>
      <c r="G29" s="43"/>
      <c r="H29" s="42"/>
      <c r="I29" s="42"/>
      <c r="J29" s="42">
        <f>'Б1.1.1'!$B$28*'Б1.1.1'!$B$26*'Б1.1.1'!$B$49*'Б1.1.1'!$B$41</f>
        <v>2766.75</v>
      </c>
      <c r="K29" s="42"/>
      <c r="L29" s="42"/>
      <c r="M29" s="42">
        <f>'Б1.1.1'!$B$28*'Б1.1.1'!$B$26*'Б1.1.1'!$B$49*'Б1.1.1'!$B$41</f>
        <v>2766.75</v>
      </c>
      <c r="N29" s="42"/>
      <c r="O29" s="42"/>
      <c r="P29" s="42">
        <f>'Б1.1.1'!$B$28*'Б1.1.1'!$B$26*'Б1.1.1'!$B$49*'Б1.1.1'!$B$41</f>
        <v>2766.75</v>
      </c>
      <c r="Q29" s="42">
        <f>P29*4</f>
        <v>11067</v>
      </c>
      <c r="R29" s="42">
        <f>P29*4</f>
        <v>11067</v>
      </c>
      <c r="S29" s="42"/>
      <c r="T29" s="42"/>
      <c r="U29" s="160" t="s">
        <v>7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77.5" x14ac:dyDescent="0.35">
      <c r="A30" s="7" t="s">
        <v>256</v>
      </c>
      <c r="B30" s="104" t="s">
        <v>197</v>
      </c>
      <c r="C30" s="41">
        <f t="shared" ref="C30:T30" si="8">C31+C32</f>
        <v>0</v>
      </c>
      <c r="D30" s="41">
        <f t="shared" si="8"/>
        <v>0</v>
      </c>
      <c r="E30" s="41">
        <f t="shared" si="8"/>
        <v>0</v>
      </c>
      <c r="F30" s="41">
        <f t="shared" si="8"/>
        <v>0</v>
      </c>
      <c r="G30" s="41">
        <f t="shared" si="8"/>
        <v>0</v>
      </c>
      <c r="H30" s="41">
        <f t="shared" si="8"/>
        <v>0</v>
      </c>
      <c r="I30" s="41">
        <f t="shared" si="8"/>
        <v>0</v>
      </c>
      <c r="J30" s="41">
        <f t="shared" si="8"/>
        <v>0</v>
      </c>
      <c r="K30" s="41">
        <f t="shared" si="8"/>
        <v>0</v>
      </c>
      <c r="L30" s="41">
        <f t="shared" si="8"/>
        <v>0</v>
      </c>
      <c r="M30" s="41">
        <f t="shared" si="8"/>
        <v>0</v>
      </c>
      <c r="N30" s="41">
        <f t="shared" si="8"/>
        <v>0</v>
      </c>
      <c r="O30" s="41">
        <f t="shared" si="8"/>
        <v>0</v>
      </c>
      <c r="P30" s="41">
        <f t="shared" si="8"/>
        <v>0</v>
      </c>
      <c r="Q30" s="41">
        <f t="shared" si="8"/>
        <v>0</v>
      </c>
      <c r="R30" s="41">
        <f t="shared" si="8"/>
        <v>0</v>
      </c>
      <c r="S30" s="41">
        <f t="shared" si="8"/>
        <v>0</v>
      </c>
      <c r="T30" s="41">
        <f t="shared" si="8"/>
        <v>0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8.75" customHeight="1" outlineLevel="1" x14ac:dyDescent="0.35">
      <c r="A31" s="83" t="s">
        <v>501</v>
      </c>
      <c r="B31" s="104" t="s">
        <v>198</v>
      </c>
      <c r="C31" s="41">
        <f>D31+Q31+R31+S31+T31</f>
        <v>0</v>
      </c>
      <c r="D31" s="41">
        <f>SUM(E31:P31)</f>
        <v>0</v>
      </c>
      <c r="E31" s="43"/>
      <c r="F31" s="43"/>
      <c r="G31" s="43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8.75" customHeight="1" outlineLevel="1" x14ac:dyDescent="0.35">
      <c r="A32" s="83" t="s">
        <v>502</v>
      </c>
      <c r="B32" s="104" t="s">
        <v>199</v>
      </c>
      <c r="C32" s="41">
        <f>D32+Q32+R32+S32+T32</f>
        <v>0</v>
      </c>
      <c r="D32" s="41">
        <f>SUM(E32:P32)</f>
        <v>0</v>
      </c>
      <c r="E32" s="43"/>
      <c r="F32" s="43"/>
      <c r="G32" s="43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31.5" customHeight="1" x14ac:dyDescent="0.3">
      <c r="A33" s="16" t="s">
        <v>483</v>
      </c>
      <c r="B33" s="104" t="s">
        <v>444</v>
      </c>
      <c r="C33" s="40">
        <f t="shared" ref="C33:T33" si="9">SUM(C34:C37)</f>
        <v>0</v>
      </c>
      <c r="D33" s="40">
        <f t="shared" si="9"/>
        <v>0</v>
      </c>
      <c r="E33" s="40">
        <f t="shared" si="9"/>
        <v>0</v>
      </c>
      <c r="F33" s="40">
        <f t="shared" si="9"/>
        <v>0</v>
      </c>
      <c r="G33" s="40">
        <f t="shared" si="9"/>
        <v>0</v>
      </c>
      <c r="H33" s="40">
        <f t="shared" si="9"/>
        <v>0</v>
      </c>
      <c r="I33" s="40">
        <f t="shared" si="9"/>
        <v>0</v>
      </c>
      <c r="J33" s="40">
        <f t="shared" si="9"/>
        <v>0</v>
      </c>
      <c r="K33" s="40">
        <f t="shared" si="9"/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0">
        <f t="shared" si="9"/>
        <v>0</v>
      </c>
      <c r="P33" s="40">
        <f t="shared" si="9"/>
        <v>0</v>
      </c>
      <c r="Q33" s="40">
        <f t="shared" si="9"/>
        <v>0</v>
      </c>
      <c r="R33" s="40">
        <f t="shared" si="9"/>
        <v>0</v>
      </c>
      <c r="S33" s="40">
        <f t="shared" si="9"/>
        <v>0</v>
      </c>
      <c r="T33" s="40">
        <f t="shared" si="9"/>
        <v>0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64.5" customHeight="1" x14ac:dyDescent="0.25">
      <c r="A34" s="10" t="s">
        <v>484</v>
      </c>
      <c r="B34" s="104" t="s">
        <v>202</v>
      </c>
      <c r="C34" s="41">
        <f>D34+Q34+R34+S34+T34</f>
        <v>0</v>
      </c>
      <c r="D34" s="41">
        <f>SUM(E34:P34)</f>
        <v>0</v>
      </c>
      <c r="E34" s="43"/>
      <c r="F34" s="43"/>
      <c r="G34" s="43"/>
      <c r="H34" s="42">
        <f>'Б1.1.1'!B$32*'Б1.1.1'!B$51*'Б1.1.1'!B$50*'Б1.1.1'!B$41</f>
        <v>0</v>
      </c>
      <c r="I34" s="42">
        <f>'Б1.1.1'!$B$32*'Б1.1.1'!$B$51*'Б1.1.1'!$B$50*'Б1.1.1'!$B$41</f>
        <v>0</v>
      </c>
      <c r="J34" s="42">
        <f>'Б1.1.1'!$B$32*'Б1.1.1'!$B$51*'Б1.1.1'!$B$50*'Б1.1.1'!$B$41</f>
        <v>0</v>
      </c>
      <c r="K34" s="42">
        <f>'Б1.1.1'!$B$32*'Б1.1.1'!$B$51*'Б1.1.1'!$B$50*'Б1.1.1'!$B$41</f>
        <v>0</v>
      </c>
      <c r="L34" s="42">
        <f>'Б1.1.1'!$B$32*'Б1.1.1'!$B$51*'Б1.1.1'!$B$50*'Б1.1.1'!$B$41</f>
        <v>0</v>
      </c>
      <c r="M34" s="42">
        <f>'Б1.1.1'!$B$32*'Б1.1.1'!$B$51*'Б1.1.1'!$B$50*'Б1.1.1'!$B$41</f>
        <v>0</v>
      </c>
      <c r="N34" s="42">
        <f>'Б1.1.1'!$B$32*'Б1.1.1'!$B$51*'Б1.1.1'!$B$50*'Б1.1.1'!$B$41</f>
        <v>0</v>
      </c>
      <c r="O34" s="42">
        <f>'Б1.1.1'!$B$32*'Б1.1.1'!$B$51*'Б1.1.1'!$B$50*'Б1.1.1'!$B$41</f>
        <v>0</v>
      </c>
      <c r="P34" s="42">
        <f>'Б1.1.1'!$B$32*'Б1.1.1'!$B$51*'Б1.1.1'!$B$50*'Б1.1.1'!$B$41</f>
        <v>0</v>
      </c>
      <c r="Q34" s="42">
        <f>P34*12</f>
        <v>0</v>
      </c>
      <c r="R34" s="42">
        <f>P34*12</f>
        <v>0</v>
      </c>
      <c r="S34" s="42"/>
      <c r="T34" s="4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47.25" customHeight="1" x14ac:dyDescent="0.35">
      <c r="A35" s="7" t="s">
        <v>503</v>
      </c>
      <c r="B35" s="104" t="s">
        <v>203</v>
      </c>
      <c r="C35" s="41">
        <f>D35+Q35+R35+S35+T35</f>
        <v>0</v>
      </c>
      <c r="D35" s="41">
        <f>SUM(E35:P35)</f>
        <v>0</v>
      </c>
      <c r="E35" s="43"/>
      <c r="F35" s="43"/>
      <c r="G35" s="43"/>
      <c r="H35" s="42">
        <f>'Б1.1.1'!$B$32*'Б1.1.1'!$B$51*'Б1.1.1'!$B$50*'Б1.1.1'!$B$41</f>
        <v>0</v>
      </c>
      <c r="I35" s="42">
        <f>'Б1.1.1'!$B$32*'Б1.1.1'!$B$51*'Б1.1.1'!$B$50*'Б1.1.1'!$B$41</f>
        <v>0</v>
      </c>
      <c r="J35" s="42">
        <f>'Б1.1.1'!$B$32*'Б1.1.1'!$B$51*'Б1.1.1'!$B$50*'Б1.1.1'!$B$41</f>
        <v>0</v>
      </c>
      <c r="K35" s="42">
        <f>'Б1.1.1'!$B$32*'Б1.1.1'!$B$51*'Б1.1.1'!$B$50*'Б1.1.1'!$B$41</f>
        <v>0</v>
      </c>
      <c r="L35" s="42">
        <f>'Б1.1.1'!$B$32*'Б1.1.1'!$B$51*'Б1.1.1'!$B$50*'Б1.1.1'!$B$41</f>
        <v>0</v>
      </c>
      <c r="M35" s="42">
        <f>'Б1.1.1'!$B$32*'Б1.1.1'!$B$51*'Б1.1.1'!$B$50*'Б1.1.1'!$B$41</f>
        <v>0</v>
      </c>
      <c r="N35" s="42">
        <f>'Б1.1.1'!$B$32*'Б1.1.1'!$B$51*'Б1.1.1'!$B$50*'Б1.1.1'!$B$41</f>
        <v>0</v>
      </c>
      <c r="O35" s="42">
        <f>'Б1.1.1'!$B$32*'Б1.1.1'!$B$51*'Б1.1.1'!$B$50*'Б1.1.1'!$B$41</f>
        <v>0</v>
      </c>
      <c r="P35" s="42">
        <f>'Б1.1.1'!$B$32*'Б1.1.1'!$B$51*'Б1.1.1'!$B$50*'Б1.1.1'!$B$41</f>
        <v>0</v>
      </c>
      <c r="Q35" s="42">
        <f>P35*12</f>
        <v>0</v>
      </c>
      <c r="R35" s="42">
        <f>P35*12</f>
        <v>0</v>
      </c>
      <c r="S35" s="42"/>
      <c r="T35" s="4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31" x14ac:dyDescent="0.35">
      <c r="A36" s="7" t="s">
        <v>504</v>
      </c>
      <c r="B36" s="104" t="s">
        <v>204</v>
      </c>
      <c r="C36" s="41">
        <f>D36+Q36+R36+S36+T36</f>
        <v>0</v>
      </c>
      <c r="D36" s="41">
        <f>SUM(E36:P36)</f>
        <v>0</v>
      </c>
      <c r="E36" s="43"/>
      <c r="F36" s="43"/>
      <c r="G36" s="43"/>
      <c r="H36" s="42">
        <f>'Б1.1.1'!$B$32*'Б1.1.1'!$B$51*'Б1.1.1'!$B$50*'Б1.1.1'!$B$41</f>
        <v>0</v>
      </c>
      <c r="I36" s="42">
        <f>'Б1.1.1'!$B$32*'Б1.1.1'!$B$51*'Б1.1.1'!$B$50*'Б1.1.1'!$B$41</f>
        <v>0</v>
      </c>
      <c r="J36" s="42">
        <f>'Б1.1.1'!$B$32*'Б1.1.1'!$B$51*'Б1.1.1'!$B$50*'Б1.1.1'!$B$41</f>
        <v>0</v>
      </c>
      <c r="K36" s="42">
        <f>'Б1.1.1'!$B$32*'Б1.1.1'!$B$51*'Б1.1.1'!$B$50*'Б1.1.1'!$B$41</f>
        <v>0</v>
      </c>
      <c r="L36" s="42">
        <f>'Б1.1.1'!$B$32*'Б1.1.1'!$B$51*'Б1.1.1'!$B$50*'Б1.1.1'!$B$41</f>
        <v>0</v>
      </c>
      <c r="M36" s="42">
        <f>'Б1.1.1'!$B$32*'Б1.1.1'!$B$51*'Б1.1.1'!$B$50*'Б1.1.1'!$B$41</f>
        <v>0</v>
      </c>
      <c r="N36" s="42">
        <f>'Б1.1.1'!$B$32*'Б1.1.1'!$B$51*'Б1.1.1'!$B$50*'Б1.1.1'!$B$41</f>
        <v>0</v>
      </c>
      <c r="O36" s="42">
        <f>'Б1.1.1'!$B$32*'Б1.1.1'!$B$51*'Б1.1.1'!$B$50*'Б1.1.1'!$B$41</f>
        <v>0</v>
      </c>
      <c r="P36" s="42">
        <f>'Б1.1.1'!$B$32*'Б1.1.1'!$B$51*'Б1.1.1'!$B$50*'Б1.1.1'!$B$41</f>
        <v>0</v>
      </c>
      <c r="Q36" s="42">
        <f>P36*12</f>
        <v>0</v>
      </c>
      <c r="R36" s="42">
        <f>P36*12</f>
        <v>0</v>
      </c>
      <c r="S36" s="42"/>
      <c r="T36" s="42"/>
      <c r="U36" s="1" t="s">
        <v>161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49.5" customHeight="1" x14ac:dyDescent="0.35">
      <c r="A37" s="7" t="s">
        <v>505</v>
      </c>
      <c r="B37" s="104" t="s">
        <v>205</v>
      </c>
      <c r="C37" s="41">
        <f>D37+Q37+R37+S37+T37</f>
        <v>0</v>
      </c>
      <c r="D37" s="41">
        <f>SUM(E37:P37)</f>
        <v>0</v>
      </c>
      <c r="E37" s="43"/>
      <c r="F37" s="43"/>
      <c r="G37" s="43"/>
      <c r="H37" s="42">
        <f>'Б1.1.1'!$B$32*'Б1.1.1'!$B$51*'Б1.1.1'!$B$50*'Б1.1.1'!$B$41</f>
        <v>0</v>
      </c>
      <c r="I37" s="42">
        <f>'Б1.1.1'!$B$32*'Б1.1.1'!$B$51*'Б1.1.1'!$B$50*'Б1.1.1'!$B$41</f>
        <v>0</v>
      </c>
      <c r="J37" s="42">
        <f>'Б1.1.1'!$B$32*'Б1.1.1'!$B$51*'Б1.1.1'!$B$50*'Б1.1.1'!$B$41</f>
        <v>0</v>
      </c>
      <c r="K37" s="42">
        <f>'Б1.1.1'!$B$32*'Б1.1.1'!$B$51*'Б1.1.1'!$B$50*'Б1.1.1'!$B$41</f>
        <v>0</v>
      </c>
      <c r="L37" s="42">
        <f>'Б1.1.1'!$B$32*'Б1.1.1'!$B$51*'Б1.1.1'!$B$50*'Б1.1.1'!$B$41</f>
        <v>0</v>
      </c>
      <c r="M37" s="42">
        <f>'Б1.1.1'!$B$32*'Б1.1.1'!$B$51*'Б1.1.1'!$B$50*'Б1.1.1'!$B$41</f>
        <v>0</v>
      </c>
      <c r="N37" s="42">
        <f>'Б1.1.1'!$B$32*'Б1.1.1'!$B$51*'Б1.1.1'!$B$50*'Б1.1.1'!$B$41</f>
        <v>0</v>
      </c>
      <c r="O37" s="42">
        <f>'Б1.1.1'!$B$32*'Б1.1.1'!$B$51*'Б1.1.1'!$B$50*'Б1.1.1'!$B$41</f>
        <v>0</v>
      </c>
      <c r="P37" s="42">
        <f>'Б1.1.1'!$B$32*'Б1.1.1'!$B$51*'Б1.1.1'!$B$50*'Б1.1.1'!$B$41</f>
        <v>0</v>
      </c>
      <c r="Q37" s="42">
        <f>P37*12</f>
        <v>0</v>
      </c>
      <c r="R37" s="42">
        <f>P37*12</f>
        <v>0</v>
      </c>
      <c r="S37" s="42"/>
      <c r="T37" s="4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8.75" customHeight="1" x14ac:dyDescent="0.35">
      <c r="A38" s="1"/>
      <c r="B38" s="1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5"/>
      <c r="R38" s="46"/>
      <c r="S38" s="45"/>
      <c r="T38" s="46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 x14ac:dyDescent="0.25">
      <c r="A39" s="1"/>
      <c r="B39" s="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 x14ac:dyDescent="0.35">
      <c r="A40" s="1"/>
      <c r="B40" s="1"/>
      <c r="C40" s="47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  <c r="R40" s="46"/>
      <c r="S40" s="47"/>
      <c r="T40" s="46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x14ac:dyDescent="0.25">
      <c r="A41" s="1"/>
      <c r="B41" s="1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 x14ac:dyDescent="0.25"/>
    <row r="239" spans="1:38" ht="15.75" customHeight="1" x14ac:dyDescent="0.25"/>
    <row r="240" spans="1:3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0">
    <mergeCell ref="T6:T7"/>
    <mergeCell ref="A5:A7"/>
    <mergeCell ref="B5:B7"/>
    <mergeCell ref="C5:C7"/>
    <mergeCell ref="D6:D7"/>
    <mergeCell ref="Q6:Q7"/>
    <mergeCell ref="R6:R7"/>
    <mergeCell ref="S6:S7"/>
    <mergeCell ref="D5:T5"/>
    <mergeCell ref="E6:P6"/>
  </mergeCells>
  <phoneticPr fontId="35" type="noConversion"/>
  <pageMargins left="0.7" right="0.7" top="0.75" bottom="0.75" header="0" footer="0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CC00"/>
    <outlinePr summaryRight="0"/>
  </sheetPr>
  <dimension ref="A1:AL1003"/>
  <sheetViews>
    <sheetView zoomScale="90" zoomScaleNormal="90" workbookViewId="0">
      <pane xSplit="2" ySplit="7" topLeftCell="F8" activePane="bottomRight" state="frozen"/>
      <selection pane="topRight" activeCell="C1" sqref="C1"/>
      <selection pane="bottomLeft" activeCell="A8" sqref="A8"/>
      <selection pane="bottomRight" activeCell="H11" sqref="H11"/>
    </sheetView>
  </sheetViews>
  <sheetFormatPr defaultColWidth="12.54296875" defaultRowHeight="15" customHeight="1" outlineLevelRow="1" outlineLevelCol="1" x14ac:dyDescent="0.25"/>
  <cols>
    <col min="1" max="1" width="32.08984375" customWidth="1"/>
    <col min="2" max="2" width="11.453125" customWidth="1"/>
    <col min="3" max="3" width="10.54296875" customWidth="1"/>
    <col min="4" max="4" width="12.453125" customWidth="1"/>
    <col min="5" max="16" width="10.453125" customWidth="1" outlineLevel="1"/>
    <col min="17" max="18" width="11.54296875" bestFit="1" customWidth="1"/>
    <col min="19" max="19" width="10.453125" bestFit="1" customWidth="1"/>
    <col min="20" max="20" width="10.90625" customWidth="1"/>
    <col min="21" max="38" width="7" customWidth="1"/>
  </cols>
  <sheetData>
    <row r="1" spans="1:38" ht="15.75" customHeight="1" x14ac:dyDescent="0.25">
      <c r="A1" s="1"/>
      <c r="B1" s="1"/>
      <c r="C1" s="1"/>
      <c r="D1" s="1"/>
      <c r="E1" s="1"/>
      <c r="F1" s="1"/>
      <c r="G1" s="8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6" t="s">
        <v>248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 x14ac:dyDescent="0.25">
      <c r="A3" s="3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6.5" customHeight="1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6.5" customHeight="1" x14ac:dyDescent="0.25">
      <c r="A5" s="219" t="s">
        <v>452</v>
      </c>
      <c r="B5" s="221" t="s">
        <v>506</v>
      </c>
      <c r="C5" s="192" t="s">
        <v>553</v>
      </c>
      <c r="D5" s="201" t="s">
        <v>559</v>
      </c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03"/>
      <c r="R5" s="203"/>
      <c r="S5" s="203"/>
      <c r="T5" s="20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7.25" customHeight="1" x14ac:dyDescent="0.25">
      <c r="A6" s="219"/>
      <c r="B6" s="221"/>
      <c r="C6" s="193"/>
      <c r="D6" s="199" t="s">
        <v>136</v>
      </c>
      <c r="E6" s="205" t="s">
        <v>31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6"/>
      <c r="Q6" s="191">
        <v>2</v>
      </c>
      <c r="R6" s="191">
        <v>3</v>
      </c>
      <c r="S6" s="191">
        <v>4</v>
      </c>
      <c r="T6" s="191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36" customHeight="1" x14ac:dyDescent="0.25">
      <c r="A7" s="220"/>
      <c r="B7" s="222"/>
      <c r="C7" s="194"/>
      <c r="D7" s="200"/>
      <c r="E7" s="159" t="s">
        <v>3</v>
      </c>
      <c r="F7" s="159" t="s">
        <v>4</v>
      </c>
      <c r="G7" s="159" t="s">
        <v>5</v>
      </c>
      <c r="H7" s="86" t="s">
        <v>42</v>
      </c>
      <c r="I7" s="86" t="s">
        <v>43</v>
      </c>
      <c r="J7" s="86" t="s">
        <v>44</v>
      </c>
      <c r="K7" s="86" t="s">
        <v>45</v>
      </c>
      <c r="L7" s="86" t="s">
        <v>46</v>
      </c>
      <c r="M7" s="86" t="s">
        <v>47</v>
      </c>
      <c r="N7" s="86" t="s">
        <v>48</v>
      </c>
      <c r="O7" s="86" t="s">
        <v>49</v>
      </c>
      <c r="P7" s="86" t="s">
        <v>50</v>
      </c>
      <c r="Q7" s="191"/>
      <c r="R7" s="191"/>
      <c r="S7" s="191"/>
      <c r="T7" s="19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47.25" customHeight="1" x14ac:dyDescent="0.25">
      <c r="A8" s="6" t="s">
        <v>507</v>
      </c>
      <c r="B8" s="104" t="s">
        <v>375</v>
      </c>
      <c r="C8" s="39">
        <f>D8+Q8+R8+S8+T8</f>
        <v>7787837.6199999992</v>
      </c>
      <c r="D8" s="39">
        <f t="shared" ref="D8:T8" si="0">D9+D17+D23+D29+D37</f>
        <v>2127604.2599999993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235093.05666666667</v>
      </c>
      <c r="I8" s="39">
        <f t="shared" si="0"/>
        <v>235093.05666666667</v>
      </c>
      <c r="J8" s="39">
        <f t="shared" si="0"/>
        <v>235093.05666666667</v>
      </c>
      <c r="K8" s="39">
        <f t="shared" si="0"/>
        <v>235093.05666666667</v>
      </c>
      <c r="L8" s="39">
        <f t="shared" si="0"/>
        <v>235093.05666666667</v>
      </c>
      <c r="M8" s="39">
        <f t="shared" si="0"/>
        <v>235093.05666666667</v>
      </c>
      <c r="N8" s="39">
        <f t="shared" si="0"/>
        <v>235093.05666666667</v>
      </c>
      <c r="O8" s="39">
        <f t="shared" si="0"/>
        <v>235093.05666666667</v>
      </c>
      <c r="P8" s="39">
        <f t="shared" si="0"/>
        <v>246859.80666666667</v>
      </c>
      <c r="Q8" s="69">
        <f t="shared" si="0"/>
        <v>2830116.68</v>
      </c>
      <c r="R8" s="69">
        <f t="shared" si="0"/>
        <v>2830116.68</v>
      </c>
      <c r="S8" s="69">
        <f t="shared" si="0"/>
        <v>0</v>
      </c>
      <c r="T8" s="69">
        <f t="shared" si="0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47.25" customHeight="1" x14ac:dyDescent="0.25">
      <c r="A9" s="8" t="s">
        <v>508</v>
      </c>
      <c r="B9" s="104" t="s">
        <v>383</v>
      </c>
      <c r="C9" s="39">
        <f>D9+Q9+R9+S9+T9</f>
        <v>7178176.1199999992</v>
      </c>
      <c r="D9" s="40">
        <f>SUM(D10:D15)</f>
        <v>1959320.7599999993</v>
      </c>
      <c r="E9" s="40">
        <f t="shared" ref="E9:P9" si="1">SUM(E10:E15)*E16</f>
        <v>0</v>
      </c>
      <c r="F9" s="40">
        <f t="shared" si="1"/>
        <v>0</v>
      </c>
      <c r="G9" s="40">
        <f t="shared" si="1"/>
        <v>0</v>
      </c>
      <c r="H9" s="40">
        <f>SUM(H10:H15)*H16</f>
        <v>216702.30666666667</v>
      </c>
      <c r="I9" s="40">
        <f t="shared" si="1"/>
        <v>216702.30666666667</v>
      </c>
      <c r="J9" s="40">
        <f t="shared" si="1"/>
        <v>216702.30666666667</v>
      </c>
      <c r="K9" s="40">
        <f t="shared" si="1"/>
        <v>216702.30666666667</v>
      </c>
      <c r="L9" s="40">
        <f t="shared" si="1"/>
        <v>216702.30666666667</v>
      </c>
      <c r="M9" s="40">
        <f t="shared" si="1"/>
        <v>216702.30666666667</v>
      </c>
      <c r="N9" s="40">
        <f t="shared" si="1"/>
        <v>216702.30666666667</v>
      </c>
      <c r="O9" s="40">
        <f t="shared" si="1"/>
        <v>216702.30666666667</v>
      </c>
      <c r="P9" s="40">
        <f t="shared" si="1"/>
        <v>225702.30666666667</v>
      </c>
      <c r="Q9" s="40">
        <f>SUM(Q10:Q15)*Q16</f>
        <v>2609427.6800000002</v>
      </c>
      <c r="R9" s="40">
        <f>SUM(R10:R15)*R16</f>
        <v>2609427.6800000002</v>
      </c>
      <c r="S9" s="40">
        <f>SUM(S10:S15)*S16</f>
        <v>0</v>
      </c>
      <c r="T9" s="40">
        <f>SUM(T10:T15)*T16</f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47.25" customHeight="1" x14ac:dyDescent="0.25">
      <c r="A10" s="29" t="s">
        <v>510</v>
      </c>
      <c r="B10" s="104" t="s">
        <v>376</v>
      </c>
      <c r="C10" s="39">
        <f t="shared" ref="C10:C15" si="2">D10+Q10*$Q$16+R10*$R$16+S10*$S$16+T10*$T$16</f>
        <v>0</v>
      </c>
      <c r="D10" s="41">
        <f t="shared" ref="D10:D15" si="3">SUM(E10:P10)*$D$16</f>
        <v>0</v>
      </c>
      <c r="E10" s="43"/>
      <c r="F10" s="43"/>
      <c r="G10" s="4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63" customHeight="1" x14ac:dyDescent="0.25">
      <c r="A11" s="10" t="s">
        <v>511</v>
      </c>
      <c r="B11" s="104" t="s">
        <v>377</v>
      </c>
      <c r="C11" s="39">
        <f t="shared" si="2"/>
        <v>7150000</v>
      </c>
      <c r="D11" s="41">
        <f t="shared" si="3"/>
        <v>1949999.9999999993</v>
      </c>
      <c r="E11" s="43"/>
      <c r="F11" s="43"/>
      <c r="G11" s="43"/>
      <c r="H11" s="42">
        <f>'Б1.1.1'!$B$37/'Б1.1.1'!$B$5</f>
        <v>722222.22222222225</v>
      </c>
      <c r="I11" s="42">
        <f>'Б1.1.1'!$B$37/'Б1.1.1'!$B$5</f>
        <v>722222.22222222225</v>
      </c>
      <c r="J11" s="42">
        <f>'Б1.1.1'!$B$37/'Б1.1.1'!$B$5</f>
        <v>722222.22222222225</v>
      </c>
      <c r="K11" s="42">
        <f>'Б1.1.1'!$B$37/'Б1.1.1'!$B$5</f>
        <v>722222.22222222225</v>
      </c>
      <c r="L11" s="42">
        <f>'Б1.1.1'!$B$37/'Б1.1.1'!$B$5</f>
        <v>722222.22222222225</v>
      </c>
      <c r="M11" s="42">
        <f>'Б1.1.1'!$B$37/'Б1.1.1'!$B$5</f>
        <v>722222.22222222225</v>
      </c>
      <c r="N11" s="42">
        <f>'Б1.1.1'!$B$37/'Б1.1.1'!$B$5</f>
        <v>722222.22222222225</v>
      </c>
      <c r="O11" s="42">
        <f>'Б1.1.1'!$B$37/'Б1.1.1'!$B$5</f>
        <v>722222.22222222225</v>
      </c>
      <c r="P11" s="42">
        <f>'Б1.1.1'!$B$37/'Б1.1.1'!$B$5</f>
        <v>722222.22222222225</v>
      </c>
      <c r="Q11" s="42">
        <f>P11*12</f>
        <v>8666666.6666666679</v>
      </c>
      <c r="R11" s="42">
        <f>P11*12</f>
        <v>8666666.6666666679</v>
      </c>
      <c r="S11" s="42">
        <v>0</v>
      </c>
      <c r="T11" s="42">
        <v>0</v>
      </c>
      <c r="U11" s="1" t="s">
        <v>161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47.25" customHeight="1" x14ac:dyDescent="0.35">
      <c r="A12" s="7" t="s">
        <v>514</v>
      </c>
      <c r="B12" s="104" t="s">
        <v>378</v>
      </c>
      <c r="C12" s="39">
        <f t="shared" si="2"/>
        <v>0</v>
      </c>
      <c r="D12" s="41">
        <f t="shared" si="3"/>
        <v>0</v>
      </c>
      <c r="E12" s="43"/>
      <c r="F12" s="43"/>
      <c r="G12" s="43"/>
      <c r="H12" s="42"/>
      <c r="I12" s="42"/>
      <c r="J12" s="42"/>
      <c r="K12" s="42"/>
      <c r="L12" s="42"/>
      <c r="M12" s="42"/>
      <c r="N12" s="42"/>
      <c r="O12" s="42"/>
      <c r="P12" s="42"/>
      <c r="Q12" s="42">
        <f>P12*12</f>
        <v>0</v>
      </c>
      <c r="R12" s="42">
        <f>P12*12</f>
        <v>0</v>
      </c>
      <c r="S12" s="42"/>
      <c r="T12" s="4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46.5" x14ac:dyDescent="0.25">
      <c r="A13" s="10" t="s">
        <v>515</v>
      </c>
      <c r="B13" s="104" t="s">
        <v>379</v>
      </c>
      <c r="C13" s="39">
        <f t="shared" si="2"/>
        <v>1176.1199999999999</v>
      </c>
      <c r="D13" s="41">
        <f t="shared" si="3"/>
        <v>320.75999999999988</v>
      </c>
      <c r="E13" s="43"/>
      <c r="F13" s="43"/>
      <c r="G13" s="43"/>
      <c r="H13" s="42">
        <f>'Б1.1.1'!$B$13+'Б1.1.1'!$B$14*'Б1.1.1'!$B$15*'Б1.1.1'!$B$12*0.9</f>
        <v>118.8</v>
      </c>
      <c r="I13" s="42">
        <f>'Б1.1.1'!$B$13+'Б1.1.1'!$B$14*'Б1.1.1'!$B$15*'Б1.1.1'!$B$12*0.9</f>
        <v>118.8</v>
      </c>
      <c r="J13" s="42">
        <f>'Б1.1.1'!$B$13+'Б1.1.1'!$B$14*'Б1.1.1'!$B$15*'Б1.1.1'!$B$12*0.9</f>
        <v>118.8</v>
      </c>
      <c r="K13" s="42">
        <f>'Б1.1.1'!$B$13+'Б1.1.1'!$B$14*'Б1.1.1'!$B$15*'Б1.1.1'!$B$12*0.9</f>
        <v>118.8</v>
      </c>
      <c r="L13" s="42">
        <f>'Б1.1.1'!$B$13+'Б1.1.1'!$B$14*'Б1.1.1'!$B$15*'Б1.1.1'!$B$12*0.9</f>
        <v>118.8</v>
      </c>
      <c r="M13" s="42">
        <f>'Б1.1.1'!$B$13+'Б1.1.1'!$B$14*'Б1.1.1'!$B$15*'Б1.1.1'!$B$12*0.9</f>
        <v>118.8</v>
      </c>
      <c r="N13" s="42">
        <f>'Б1.1.1'!$B$13+'Б1.1.1'!$B$14*'Б1.1.1'!$B$15*'Б1.1.1'!$B$12*0.9</f>
        <v>118.8</v>
      </c>
      <c r="O13" s="42">
        <f>'Б1.1.1'!$B$13+'Б1.1.1'!$B$14*'Б1.1.1'!$B$15*'Б1.1.1'!$B$12*0.9</f>
        <v>118.8</v>
      </c>
      <c r="P13" s="42">
        <f>'Б1.1.1'!$B$13+'Б1.1.1'!$B$14*'Б1.1.1'!$B$15*'Б1.1.1'!$B$12*0.9</f>
        <v>118.8</v>
      </c>
      <c r="Q13" s="42">
        <f>P13*12</f>
        <v>1425.6</v>
      </c>
      <c r="R13" s="42">
        <f>P13*12</f>
        <v>1425.6</v>
      </c>
      <c r="S13" s="42"/>
      <c r="T13" s="4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50.25" customHeight="1" x14ac:dyDescent="0.35">
      <c r="A14" s="7" t="s">
        <v>516</v>
      </c>
      <c r="B14" s="104" t="s">
        <v>380</v>
      </c>
      <c r="C14" s="39">
        <f t="shared" si="2"/>
        <v>27000</v>
      </c>
      <c r="D14" s="41">
        <f t="shared" si="3"/>
        <v>8999.9999999999982</v>
      </c>
      <c r="E14" s="43"/>
      <c r="F14" s="43"/>
      <c r="G14" s="43"/>
      <c r="H14" s="42"/>
      <c r="I14" s="42"/>
      <c r="J14" s="42"/>
      <c r="K14" s="42"/>
      <c r="L14" s="42"/>
      <c r="M14" s="42"/>
      <c r="N14" s="42"/>
      <c r="O14" s="42"/>
      <c r="P14" s="42">
        <f>'Б1.1.1'!B38</f>
        <v>30000</v>
      </c>
      <c r="Q14" s="42">
        <f>P14</f>
        <v>30000</v>
      </c>
      <c r="R14" s="42">
        <f>P14</f>
        <v>30000</v>
      </c>
      <c r="S14" s="42"/>
      <c r="T14" s="4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47.25" customHeight="1" x14ac:dyDescent="0.35">
      <c r="A15" s="7" t="s">
        <v>517</v>
      </c>
      <c r="B15" s="104" t="s">
        <v>381</v>
      </c>
      <c r="C15" s="39">
        <f t="shared" si="2"/>
        <v>0</v>
      </c>
      <c r="D15" s="41">
        <f t="shared" si="3"/>
        <v>0</v>
      </c>
      <c r="E15" s="43"/>
      <c r="F15" s="43"/>
      <c r="G15" s="4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47.25" customHeight="1" x14ac:dyDescent="0.25">
      <c r="A16" s="10" t="s">
        <v>518</v>
      </c>
      <c r="B16" s="104" t="s">
        <v>382</v>
      </c>
      <c r="C16" s="50">
        <f>(D16+Q16+R16+S16+T16)/5</f>
        <v>0.3</v>
      </c>
      <c r="D16" s="50">
        <f>SUM(E16:P16)/12</f>
        <v>0.29999999999999993</v>
      </c>
      <c r="E16" s="49">
        <v>0.3</v>
      </c>
      <c r="F16" s="49">
        <v>0.3</v>
      </c>
      <c r="G16" s="49">
        <v>0.3</v>
      </c>
      <c r="H16" s="49">
        <v>0.3</v>
      </c>
      <c r="I16" s="49">
        <v>0.3</v>
      </c>
      <c r="J16" s="49">
        <v>0.3</v>
      </c>
      <c r="K16" s="49">
        <v>0.3</v>
      </c>
      <c r="L16" s="49">
        <v>0.3</v>
      </c>
      <c r="M16" s="49">
        <v>0.3</v>
      </c>
      <c r="N16" s="49">
        <v>0.3</v>
      </c>
      <c r="O16" s="49">
        <v>0.3</v>
      </c>
      <c r="P16" s="49">
        <v>0.3</v>
      </c>
      <c r="Q16" s="49">
        <v>0.3</v>
      </c>
      <c r="R16" s="49">
        <v>0.3</v>
      </c>
      <c r="S16" s="49">
        <v>0.3</v>
      </c>
      <c r="T16" s="49">
        <v>0.3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50.25" customHeight="1" x14ac:dyDescent="0.25">
      <c r="A17" s="8" t="s">
        <v>24</v>
      </c>
      <c r="B17" s="104" t="s">
        <v>390</v>
      </c>
      <c r="C17" s="39">
        <f>D17+Q17+R17+S17+T17</f>
        <v>0</v>
      </c>
      <c r="D17" s="50">
        <f>SUM(D18:D21)</f>
        <v>0</v>
      </c>
      <c r="E17" s="50">
        <f t="shared" ref="E17:P17" si="4">SUM(E18:E21)*E22</f>
        <v>0</v>
      </c>
      <c r="F17" s="50">
        <f t="shared" si="4"/>
        <v>0</v>
      </c>
      <c r="G17" s="50">
        <f t="shared" si="4"/>
        <v>0</v>
      </c>
      <c r="H17" s="50">
        <f t="shared" si="4"/>
        <v>0</v>
      </c>
      <c r="I17" s="50">
        <f t="shared" si="4"/>
        <v>0</v>
      </c>
      <c r="J17" s="50">
        <f t="shared" si="4"/>
        <v>0</v>
      </c>
      <c r="K17" s="50">
        <f t="shared" si="4"/>
        <v>0</v>
      </c>
      <c r="L17" s="50">
        <f t="shared" si="4"/>
        <v>0</v>
      </c>
      <c r="M17" s="50">
        <f t="shared" si="4"/>
        <v>0</v>
      </c>
      <c r="N17" s="50">
        <f t="shared" si="4"/>
        <v>0</v>
      </c>
      <c r="O17" s="50">
        <f t="shared" si="4"/>
        <v>0</v>
      </c>
      <c r="P17" s="50">
        <f t="shared" si="4"/>
        <v>0</v>
      </c>
      <c r="Q17" s="50">
        <f>SUM(Q18:Q21)*Q22</f>
        <v>0</v>
      </c>
      <c r="R17" s="50">
        <f>SUM(R18:R21)*R22</f>
        <v>0</v>
      </c>
      <c r="S17" s="50">
        <f>SUM(S18:S21)*S22</f>
        <v>0</v>
      </c>
      <c r="T17" s="50">
        <f>SUM(T18:T21)*T22</f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34.5" customHeight="1" x14ac:dyDescent="0.35">
      <c r="A18" s="7" t="s">
        <v>519</v>
      </c>
      <c r="B18" s="104" t="s">
        <v>388</v>
      </c>
      <c r="C18" s="39">
        <f>D18+Q18*$Q$22+R18*$R$22+S18*$S$22+T18*$T$22</f>
        <v>0</v>
      </c>
      <c r="D18" s="41">
        <f>SUM(E18:P18)*$D$22</f>
        <v>0</v>
      </c>
      <c r="E18" s="43"/>
      <c r="F18" s="43"/>
      <c r="G18" s="43"/>
      <c r="H18" s="42">
        <f>'Б1.1.1'!$B$39/'Б1.1.1'!$B$18</f>
        <v>0</v>
      </c>
      <c r="I18" s="42">
        <f>'Б1.1.1'!$B$39/'Б1.1.1'!$B$18</f>
        <v>0</v>
      </c>
      <c r="J18" s="42">
        <f>'Б1.1.1'!$B$39/'Б1.1.1'!$B$18</f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47.25" customHeight="1" outlineLevel="1" x14ac:dyDescent="0.25">
      <c r="A19" s="10" t="s">
        <v>521</v>
      </c>
      <c r="B19" s="104" t="s">
        <v>389</v>
      </c>
      <c r="C19" s="39">
        <f>D19+Q19*$Q$22+R19*$R$22+S19*$S$22+T19*$T$22</f>
        <v>0</v>
      </c>
      <c r="D19" s="41">
        <f>SUM(E19:P19)*$D$22</f>
        <v>0</v>
      </c>
      <c r="E19" s="43"/>
      <c r="F19" s="43"/>
      <c r="G19" s="43"/>
      <c r="H19" s="42">
        <f>'Б1.1.1'!$B$39/'Б1.1.1'!$B$18</f>
        <v>0</v>
      </c>
      <c r="I19" s="42">
        <f>'Б1.1.1'!$B$39/'Б1.1.1'!$B$18</f>
        <v>0</v>
      </c>
      <c r="J19" s="42">
        <f>'Б1.1.1'!$B$39/'Б1.1.1'!$B$18</f>
        <v>0</v>
      </c>
      <c r="K19" s="42">
        <f>'Б1.1.1'!$B$39/'Б1.1.1'!$B$18</f>
        <v>0</v>
      </c>
      <c r="L19" s="42">
        <f>'Б1.1.1'!$B$39/'Б1.1.1'!$B$18</f>
        <v>0</v>
      </c>
      <c r="M19" s="42">
        <f>'Б1.1.1'!$B$39/'Б1.1.1'!$B$18</f>
        <v>0</v>
      </c>
      <c r="N19" s="42">
        <f>'Б1.1.1'!$B$39/'Б1.1.1'!$B$18</f>
        <v>0</v>
      </c>
      <c r="O19" s="42">
        <f>'Б1.1.1'!$B$39/'Б1.1.1'!$B$18</f>
        <v>0</v>
      </c>
      <c r="P19" s="42">
        <f>'Б1.1.1'!$B$39/'Б1.1.1'!$B$18</f>
        <v>0</v>
      </c>
      <c r="Q19" s="42">
        <f t="shared" ref="Q19:R21" si="5">$P$19*12</f>
        <v>0</v>
      </c>
      <c r="R19" s="42">
        <f t="shared" si="5"/>
        <v>0</v>
      </c>
      <c r="S19" s="42">
        <v>0</v>
      </c>
      <c r="T19" s="42">
        <v>0</v>
      </c>
      <c r="U19" s="1" t="s">
        <v>161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47.25" customHeight="1" outlineLevel="1" x14ac:dyDescent="0.35">
      <c r="A20" s="7" t="s">
        <v>524</v>
      </c>
      <c r="B20" s="104" t="s">
        <v>391</v>
      </c>
      <c r="C20" s="39">
        <f>D20+Q20*$Q$22+R20*$R$22+S20*$S$22+T20*$T$22</f>
        <v>0</v>
      </c>
      <c r="D20" s="41">
        <f>SUM(E20:P20)*$D$22</f>
        <v>0</v>
      </c>
      <c r="E20" s="43"/>
      <c r="F20" s="43"/>
      <c r="G20" s="43"/>
      <c r="H20" s="42">
        <f>'Б1.1.1'!$B$39/'Б1.1.1'!$B$18</f>
        <v>0</v>
      </c>
      <c r="I20" s="42">
        <f>'Б1.1.1'!$B$39/'Б1.1.1'!$B$18</f>
        <v>0</v>
      </c>
      <c r="J20" s="42">
        <f>'Б1.1.1'!$B$39/'Б1.1.1'!$B$18</f>
        <v>0</v>
      </c>
      <c r="K20" s="42">
        <f>'Б1.1.1'!$B$39/'Б1.1.1'!$B$18</f>
        <v>0</v>
      </c>
      <c r="L20" s="42">
        <f>'Б1.1.1'!$B$39/'Б1.1.1'!$B$18</f>
        <v>0</v>
      </c>
      <c r="M20" s="42">
        <f>'Б1.1.1'!$B$39/'Б1.1.1'!$B$18</f>
        <v>0</v>
      </c>
      <c r="N20" s="42">
        <f>'Б1.1.1'!$B$39/'Б1.1.1'!$B$18</f>
        <v>0</v>
      </c>
      <c r="O20" s="42">
        <f>'Б1.1.1'!$B$39/'Б1.1.1'!$B$18</f>
        <v>0</v>
      </c>
      <c r="P20" s="42">
        <f>'Б1.1.1'!$B$39/'Б1.1.1'!$B$18</f>
        <v>0</v>
      </c>
      <c r="Q20" s="42">
        <f t="shared" si="5"/>
        <v>0</v>
      </c>
      <c r="R20" s="42">
        <f t="shared" si="5"/>
        <v>0</v>
      </c>
      <c r="S20" s="42">
        <v>0</v>
      </c>
      <c r="T20" s="42"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46.5" customHeight="1" outlineLevel="1" x14ac:dyDescent="0.35">
      <c r="A21" s="7" t="s">
        <v>525</v>
      </c>
      <c r="B21" s="104" t="s">
        <v>392</v>
      </c>
      <c r="C21" s="39">
        <f>D21+Q21*$Q$22+R21*$R$22+S21*$S$22+T21*$T$22</f>
        <v>0</v>
      </c>
      <c r="D21" s="41">
        <f>SUM(E21:P21)*$D$22</f>
        <v>0</v>
      </c>
      <c r="E21" s="43"/>
      <c r="F21" s="43"/>
      <c r="G21" s="43"/>
      <c r="H21" s="42">
        <f>'Б1.1.1'!$B$39/'Б1.1.1'!$B$18</f>
        <v>0</v>
      </c>
      <c r="I21" s="42">
        <f>'Б1.1.1'!$B$39/'Б1.1.1'!$B$18</f>
        <v>0</v>
      </c>
      <c r="J21" s="42">
        <f>'Б1.1.1'!$B$39/'Б1.1.1'!$B$18</f>
        <v>0</v>
      </c>
      <c r="K21" s="42">
        <f>'Б1.1.1'!$B$39/'Б1.1.1'!$B$18</f>
        <v>0</v>
      </c>
      <c r="L21" s="42">
        <f>'Б1.1.1'!$B$39/'Б1.1.1'!$B$18</f>
        <v>0</v>
      </c>
      <c r="M21" s="42">
        <f>'Б1.1.1'!$B$39/'Б1.1.1'!$B$18</f>
        <v>0</v>
      </c>
      <c r="N21" s="42">
        <f>'Б1.1.1'!$B$39/'Б1.1.1'!$B$18</f>
        <v>0</v>
      </c>
      <c r="O21" s="42">
        <f>'Б1.1.1'!$B$39/'Б1.1.1'!$B$18</f>
        <v>0</v>
      </c>
      <c r="P21" s="42">
        <f>'Б1.1.1'!$B$39/'Б1.1.1'!$B$18</f>
        <v>0</v>
      </c>
      <c r="Q21" s="42">
        <f t="shared" si="5"/>
        <v>0</v>
      </c>
      <c r="R21" s="42">
        <f t="shared" si="5"/>
        <v>0</v>
      </c>
      <c r="S21" s="42">
        <v>0</v>
      </c>
      <c r="T21" s="42"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47.25" customHeight="1" x14ac:dyDescent="0.25">
      <c r="A22" s="10" t="s">
        <v>526</v>
      </c>
      <c r="B22" s="104" t="s">
        <v>394</v>
      </c>
      <c r="C22" s="50">
        <f>(D22+Q22+R22+S22+T22)/5</f>
        <v>0.2</v>
      </c>
      <c r="D22" s="50">
        <f>SUM(E22:P22)/12</f>
        <v>0.19999999999999998</v>
      </c>
      <c r="E22" s="49">
        <v>0.2</v>
      </c>
      <c r="F22" s="49">
        <v>0.2</v>
      </c>
      <c r="G22" s="49">
        <v>0.2</v>
      </c>
      <c r="H22" s="49">
        <v>0.2</v>
      </c>
      <c r="I22" s="49">
        <v>0.2</v>
      </c>
      <c r="J22" s="49">
        <v>0.2</v>
      </c>
      <c r="K22" s="49">
        <v>0.2</v>
      </c>
      <c r="L22" s="49">
        <v>0.2</v>
      </c>
      <c r="M22" s="49">
        <v>0.2</v>
      </c>
      <c r="N22" s="49">
        <v>0.2</v>
      </c>
      <c r="O22" s="49">
        <v>0.2</v>
      </c>
      <c r="P22" s="49">
        <v>0.2</v>
      </c>
      <c r="Q22" s="49">
        <v>0.2</v>
      </c>
      <c r="R22" s="49">
        <v>0.2</v>
      </c>
      <c r="S22" s="49">
        <v>0.2</v>
      </c>
      <c r="T22" s="49">
        <v>0.2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47.25" customHeight="1" x14ac:dyDescent="0.25">
      <c r="A23" s="8" t="s">
        <v>527</v>
      </c>
      <c r="B23" s="104" t="s">
        <v>396</v>
      </c>
      <c r="C23" s="39">
        <f>D23+Q23+R23+S23+T23</f>
        <v>515592</v>
      </c>
      <c r="D23" s="40">
        <f>SUM(D24:D27)</f>
        <v>140616</v>
      </c>
      <c r="E23" s="40">
        <f t="shared" ref="E23:P23" si="6">SUM(E24:E27)*E28</f>
        <v>0</v>
      </c>
      <c r="F23" s="40">
        <f t="shared" si="6"/>
        <v>0</v>
      </c>
      <c r="G23" s="40">
        <f t="shared" si="6"/>
        <v>0</v>
      </c>
      <c r="H23" s="40">
        <f t="shared" si="6"/>
        <v>15624</v>
      </c>
      <c r="I23" s="40">
        <f t="shared" si="6"/>
        <v>15624</v>
      </c>
      <c r="J23" s="40">
        <f t="shared" si="6"/>
        <v>15624</v>
      </c>
      <c r="K23" s="40">
        <f t="shared" si="6"/>
        <v>15624</v>
      </c>
      <c r="L23" s="40">
        <f t="shared" si="6"/>
        <v>15624</v>
      </c>
      <c r="M23" s="40">
        <f t="shared" si="6"/>
        <v>15624</v>
      </c>
      <c r="N23" s="40">
        <f t="shared" si="6"/>
        <v>15624</v>
      </c>
      <c r="O23" s="40">
        <f t="shared" si="6"/>
        <v>15624</v>
      </c>
      <c r="P23" s="40">
        <f t="shared" si="6"/>
        <v>15624</v>
      </c>
      <c r="Q23" s="40">
        <f>SUM(Q24:Q27)*Q28</f>
        <v>187488</v>
      </c>
      <c r="R23" s="40">
        <f>SUM(R24:R27)*R28</f>
        <v>187488</v>
      </c>
      <c r="S23" s="40">
        <f>SUM(S24:S27)*S28</f>
        <v>0</v>
      </c>
      <c r="T23" s="40">
        <f>SUM(T24:T27)*T28</f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65.25" customHeight="1" x14ac:dyDescent="0.25">
      <c r="A24" s="10" t="s">
        <v>528</v>
      </c>
      <c r="B24" s="104" t="s">
        <v>395</v>
      </c>
      <c r="C24" s="39">
        <f>D24+Q24*$Q$28+R24*$R$28+S24*$S$28+T24*$T$28</f>
        <v>515592</v>
      </c>
      <c r="D24" s="41">
        <f>SUM(E24:P24)*$D$28</f>
        <v>140616</v>
      </c>
      <c r="E24" s="43"/>
      <c r="F24" s="43"/>
      <c r="G24" s="43"/>
      <c r="H24" s="42">
        <f>'Б1.1.1'!B34*'Б1.1.1'!$B$53*'Б1.1.1'!$B$41</f>
        <v>156240</v>
      </c>
      <c r="I24" s="42">
        <f>'Б1.1.1'!B34*'Б1.1.1'!$B$53*'Б1.1.1'!$B$41</f>
        <v>156240</v>
      </c>
      <c r="J24" s="42">
        <f>'Б1.1.1'!B34*'Б1.1.1'!$B$53*'Б1.1.1'!$B$41</f>
        <v>156240</v>
      </c>
      <c r="K24" s="42">
        <f>'Б1.1.1'!B34*'Б1.1.1'!$B$53*'Б1.1.1'!$B$41</f>
        <v>156240</v>
      </c>
      <c r="L24" s="42">
        <f>'Б1.1.1'!B34*'Б1.1.1'!$B$53*'Б1.1.1'!$B$41</f>
        <v>156240</v>
      </c>
      <c r="M24" s="42">
        <f>'Б1.1.1'!B34*'Б1.1.1'!$B$53*'Б1.1.1'!$B$41</f>
        <v>156240</v>
      </c>
      <c r="N24" s="42">
        <f>'Б1.1.1'!B34*'Б1.1.1'!$B$53*'Б1.1.1'!$B$41</f>
        <v>156240</v>
      </c>
      <c r="O24" s="42">
        <f>'Б1.1.1'!B34*'Б1.1.1'!$B$53*'Б1.1.1'!$B$41</f>
        <v>156240</v>
      </c>
      <c r="P24" s="42">
        <f>'Б1.1.1'!B34*'Б1.1.1'!$B$53*'Б1.1.1'!$B$41</f>
        <v>156240</v>
      </c>
      <c r="Q24" s="42">
        <f>O24*12</f>
        <v>1874880</v>
      </c>
      <c r="R24" s="42">
        <f>P24*12</f>
        <v>1874880</v>
      </c>
      <c r="S24" s="42"/>
      <c r="T24" s="42"/>
      <c r="U24" s="1"/>
      <c r="V24" s="1"/>
      <c r="W24" s="1" t="s">
        <v>162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94.5" customHeight="1" outlineLevel="1" x14ac:dyDescent="0.35">
      <c r="A25" s="7" t="s">
        <v>529</v>
      </c>
      <c r="B25" s="104" t="s">
        <v>402</v>
      </c>
      <c r="C25" s="39">
        <f>D25+Q25*$Q$28+R25*$R$28+S25*$S$28+T25*$T$28</f>
        <v>0</v>
      </c>
      <c r="D25" s="41">
        <f>SUM(E25:P25)*$D$28</f>
        <v>0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94.5" customHeight="1" outlineLevel="1" x14ac:dyDescent="0.35">
      <c r="A26" s="7" t="s">
        <v>530</v>
      </c>
      <c r="B26" s="104" t="s">
        <v>403</v>
      </c>
      <c r="C26" s="39">
        <f>D26+Q26*$Q$28+R26*$R$28+S26*$S$28+T26*$T$28</f>
        <v>0</v>
      </c>
      <c r="D26" s="41">
        <f>SUM(E26:P26)*$D$28</f>
        <v>0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94.5" customHeight="1" outlineLevel="1" x14ac:dyDescent="0.35">
      <c r="A27" s="7" t="s">
        <v>531</v>
      </c>
      <c r="B27" s="104" t="s">
        <v>404</v>
      </c>
      <c r="C27" s="39">
        <f>D27+Q27*$Q$28+R27*$R$28+S27*$S$28+T27*$T$28</f>
        <v>0</v>
      </c>
      <c r="D27" s="41">
        <f>SUM(E27:P27)*$D$28</f>
        <v>0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47.25" customHeight="1" x14ac:dyDescent="0.25">
      <c r="A28" s="10" t="s">
        <v>532</v>
      </c>
      <c r="B28" s="104" t="s">
        <v>405</v>
      </c>
      <c r="C28" s="50">
        <f>(D28+Q28+R28+S28+T28)/5</f>
        <v>0.1</v>
      </c>
      <c r="D28" s="50">
        <f>SUM(E28:P28)/12</f>
        <v>9.9999999999999992E-2</v>
      </c>
      <c r="E28" s="49">
        <v>0.1</v>
      </c>
      <c r="F28" s="49">
        <v>0.1</v>
      </c>
      <c r="G28" s="49">
        <v>0.1</v>
      </c>
      <c r="H28" s="49">
        <v>0.1</v>
      </c>
      <c r="I28" s="49">
        <v>0.1</v>
      </c>
      <c r="J28" s="49">
        <v>0.1</v>
      </c>
      <c r="K28" s="49">
        <v>0.1</v>
      </c>
      <c r="L28" s="49">
        <v>0.1</v>
      </c>
      <c r="M28" s="49">
        <v>0.1</v>
      </c>
      <c r="N28" s="49">
        <v>0.1</v>
      </c>
      <c r="O28" s="49">
        <v>0.1</v>
      </c>
      <c r="P28" s="49">
        <v>0.1</v>
      </c>
      <c r="Q28" s="49">
        <v>0.1</v>
      </c>
      <c r="R28" s="49">
        <v>0.1</v>
      </c>
      <c r="S28" s="49">
        <v>0.1</v>
      </c>
      <c r="T28" s="49">
        <v>0.1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63" customHeight="1" x14ac:dyDescent="0.3">
      <c r="A29" s="16" t="s">
        <v>423</v>
      </c>
      <c r="B29" s="104" t="s">
        <v>424</v>
      </c>
      <c r="C29" s="50">
        <f>C30+C33</f>
        <v>691687.5</v>
      </c>
      <c r="D29" s="50">
        <f>D30+D33</f>
        <v>27667.499999999996</v>
      </c>
      <c r="E29" s="50">
        <f>E30*E36+E33*E36</f>
        <v>0</v>
      </c>
      <c r="F29" s="50">
        <f>F30*F36+F33*F36</f>
        <v>0</v>
      </c>
      <c r="G29" s="50">
        <f>G30*G36+G33*G36</f>
        <v>0</v>
      </c>
      <c r="H29" s="50">
        <f>H30*H36+H33*H36</f>
        <v>2766.75</v>
      </c>
      <c r="I29" s="50">
        <f t="shared" ref="I29:P29" si="7">I30*I36+I33*I36</f>
        <v>2766.75</v>
      </c>
      <c r="J29" s="50">
        <f t="shared" si="7"/>
        <v>2766.75</v>
      </c>
      <c r="K29" s="50">
        <f t="shared" si="7"/>
        <v>2766.75</v>
      </c>
      <c r="L29" s="50">
        <f t="shared" si="7"/>
        <v>2766.75</v>
      </c>
      <c r="M29" s="50">
        <f t="shared" si="7"/>
        <v>2766.75</v>
      </c>
      <c r="N29" s="50">
        <f t="shared" si="7"/>
        <v>2766.75</v>
      </c>
      <c r="O29" s="50">
        <f t="shared" si="7"/>
        <v>2766.75</v>
      </c>
      <c r="P29" s="50">
        <f t="shared" si="7"/>
        <v>5533.5</v>
      </c>
      <c r="Q29" s="50">
        <f>Q30*Q36+Q33*Q36</f>
        <v>33201</v>
      </c>
      <c r="R29" s="50">
        <f>R30*R36+R33*R36</f>
        <v>33201</v>
      </c>
      <c r="S29" s="50">
        <f>S30*S36+S33*S36</f>
        <v>0</v>
      </c>
      <c r="T29" s="50">
        <f>T30*T36+T33*T36</f>
        <v>0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63" customHeight="1" x14ac:dyDescent="0.25">
      <c r="A30" s="10" t="s">
        <v>432</v>
      </c>
      <c r="B30" s="104" t="s">
        <v>425</v>
      </c>
      <c r="C30" s="41">
        <f>C31+C32</f>
        <v>691687.5</v>
      </c>
      <c r="D30" s="41">
        <f>SUM(D31:D32)</f>
        <v>27667.499999999996</v>
      </c>
      <c r="E30" s="41">
        <f>SUM(E31:E32)</f>
        <v>0</v>
      </c>
      <c r="F30" s="41">
        <f t="shared" ref="F30:P30" si="8">SUM(F31:F32)</f>
        <v>0</v>
      </c>
      <c r="G30" s="41">
        <f t="shared" si="8"/>
        <v>0</v>
      </c>
      <c r="H30" s="41">
        <f t="shared" si="8"/>
        <v>27667.5</v>
      </c>
      <c r="I30" s="41">
        <f t="shared" si="8"/>
        <v>27667.5</v>
      </c>
      <c r="J30" s="41">
        <f t="shared" si="8"/>
        <v>27667.5</v>
      </c>
      <c r="K30" s="41">
        <f t="shared" si="8"/>
        <v>27667.5</v>
      </c>
      <c r="L30" s="41">
        <f t="shared" si="8"/>
        <v>27667.5</v>
      </c>
      <c r="M30" s="41">
        <f t="shared" si="8"/>
        <v>27667.5</v>
      </c>
      <c r="N30" s="41">
        <f t="shared" si="8"/>
        <v>27667.5</v>
      </c>
      <c r="O30" s="41">
        <f t="shared" si="8"/>
        <v>27667.5</v>
      </c>
      <c r="P30" s="41">
        <f t="shared" si="8"/>
        <v>55335</v>
      </c>
      <c r="Q30" s="136">
        <f>SUM(Q31+Q32)</f>
        <v>332010</v>
      </c>
      <c r="R30" s="136">
        <f>SUM(R31+R32)</f>
        <v>332010</v>
      </c>
      <c r="S30" s="136">
        <f>SUM(S31+S32)</f>
        <v>0</v>
      </c>
      <c r="T30" s="136">
        <f>SUM(T31+T32)</f>
        <v>0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7.5" x14ac:dyDescent="0.25">
      <c r="A31" s="177" t="s">
        <v>501</v>
      </c>
      <c r="B31" s="178" t="s">
        <v>426</v>
      </c>
      <c r="C31" s="88">
        <f>D31+Q31+R31+S31+T31</f>
        <v>688920.75</v>
      </c>
      <c r="D31" s="88">
        <f>SUM(E31:P31)*$D$36</f>
        <v>24900.749999999996</v>
      </c>
      <c r="E31" s="43"/>
      <c r="F31" s="43"/>
      <c r="G31" s="43"/>
      <c r="H31" s="42">
        <f>'Б1.1.1'!$B$26*'Б1.1.1'!$B$27*'Б1.1.1'!$B$41</f>
        <v>27667.5</v>
      </c>
      <c r="I31" s="42">
        <f>'Б1.1.1'!$B$26*'Б1.1.1'!$B$27*'Б1.1.1'!$B$41</f>
        <v>27667.5</v>
      </c>
      <c r="J31" s="42">
        <f>'Б1.1.1'!$B$26*'Б1.1.1'!$B$27*'Б1.1.1'!$B$41</f>
        <v>27667.5</v>
      </c>
      <c r="K31" s="42">
        <f>'Б1.1.1'!$B$26*'Б1.1.1'!$B$27*'Б1.1.1'!$B$41</f>
        <v>27667.5</v>
      </c>
      <c r="L31" s="42">
        <f>'Б1.1.1'!$B$26*'Б1.1.1'!$B$27*'Б1.1.1'!$B$41</f>
        <v>27667.5</v>
      </c>
      <c r="M31" s="42">
        <f>'Б1.1.1'!$B$26*'Б1.1.1'!$B$27*'Б1.1.1'!$B$41</f>
        <v>27667.5</v>
      </c>
      <c r="N31" s="42">
        <f>'Б1.1.1'!$B$26*'Б1.1.1'!$B$27*'Б1.1.1'!$B$41</f>
        <v>27667.5</v>
      </c>
      <c r="O31" s="42">
        <f>'Б1.1.1'!$B$26*'Б1.1.1'!$B$27*'Б1.1.1'!$B$41</f>
        <v>27667.5</v>
      </c>
      <c r="P31" s="42">
        <f>'Б1.1.1'!$B$26*'Б1.1.1'!$B$27*'Б1.1.1'!$B$41</f>
        <v>27667.5</v>
      </c>
      <c r="Q31" s="42">
        <f>P31*12</f>
        <v>332010</v>
      </c>
      <c r="R31" s="42">
        <f>P31*12</f>
        <v>332010</v>
      </c>
      <c r="S31" s="42"/>
      <c r="T31" s="4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7.5" x14ac:dyDescent="0.25">
      <c r="A32" s="177" t="s">
        <v>502</v>
      </c>
      <c r="B32" s="178" t="s">
        <v>427</v>
      </c>
      <c r="C32" s="88">
        <f>D32+Q32+R32+S32+T32</f>
        <v>2766.7499999999995</v>
      </c>
      <c r="D32" s="88">
        <f>SUM(E32:P32)*$D$36</f>
        <v>2766.7499999999995</v>
      </c>
      <c r="E32" s="43"/>
      <c r="F32" s="43"/>
      <c r="G32" s="43"/>
      <c r="H32" s="42"/>
      <c r="I32" s="42"/>
      <c r="J32" s="42"/>
      <c r="K32" s="42"/>
      <c r="L32" s="42"/>
      <c r="M32" s="42"/>
      <c r="N32" s="42"/>
      <c r="O32" s="42"/>
      <c r="P32" s="42">
        <f>'Б1.1.1'!$B$26*'Б1.1.1'!$B$27*'Б1.1.1'!$B$41</f>
        <v>27667.5</v>
      </c>
      <c r="Q32" s="42"/>
      <c r="R32" s="42"/>
      <c r="S32" s="42"/>
      <c r="T32" s="4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94.5" customHeight="1" x14ac:dyDescent="0.35">
      <c r="A33" s="7" t="s">
        <v>433</v>
      </c>
      <c r="B33" s="104" t="s">
        <v>429</v>
      </c>
      <c r="C33" s="41">
        <f>C34+C35</f>
        <v>0</v>
      </c>
      <c r="D33" s="41">
        <f>SUM(D34:D35)</f>
        <v>0</v>
      </c>
      <c r="E33" s="41">
        <f t="shared" ref="E33:P33" si="9">SUM(E34:E35)*E$36</f>
        <v>0</v>
      </c>
      <c r="F33" s="41">
        <f t="shared" si="9"/>
        <v>0</v>
      </c>
      <c r="G33" s="41">
        <f t="shared" si="9"/>
        <v>0</v>
      </c>
      <c r="H33" s="41">
        <f t="shared" si="9"/>
        <v>0</v>
      </c>
      <c r="I33" s="41">
        <f t="shared" si="9"/>
        <v>0</v>
      </c>
      <c r="J33" s="41">
        <f t="shared" si="9"/>
        <v>0</v>
      </c>
      <c r="K33" s="41">
        <f t="shared" si="9"/>
        <v>0</v>
      </c>
      <c r="L33" s="41">
        <f t="shared" si="9"/>
        <v>0</v>
      </c>
      <c r="M33" s="41">
        <f t="shared" si="9"/>
        <v>0</v>
      </c>
      <c r="N33" s="41">
        <f t="shared" si="9"/>
        <v>0</v>
      </c>
      <c r="O33" s="41">
        <f t="shared" si="9"/>
        <v>0</v>
      </c>
      <c r="P33" s="41">
        <f t="shared" si="9"/>
        <v>0</v>
      </c>
      <c r="Q33" s="136">
        <f>SUM(Q34+Q35)*Q$36</f>
        <v>0</v>
      </c>
      <c r="R33" s="136">
        <f>SUM(R34+R35)*R$36</f>
        <v>0</v>
      </c>
      <c r="S33" s="136">
        <f>SUM(S34+S35)*S$36</f>
        <v>0</v>
      </c>
      <c r="T33" s="136">
        <f>SUM(T34+T35)*T$36</f>
        <v>0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7.5" x14ac:dyDescent="0.25">
      <c r="A34" s="177" t="s">
        <v>501</v>
      </c>
      <c r="B34" s="178" t="s">
        <v>430</v>
      </c>
      <c r="C34" s="88">
        <f>D34+Q34*$Q$36+R34*$R$36+S34*$S$36+T34*$T$36</f>
        <v>0</v>
      </c>
      <c r="D34" s="88">
        <f>SUM(E34:P34)*$D$36</f>
        <v>0</v>
      </c>
      <c r="E34" s="43"/>
      <c r="F34" s="43"/>
      <c r="G34" s="43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7.5" x14ac:dyDescent="0.25">
      <c r="A35" s="177" t="s">
        <v>502</v>
      </c>
      <c r="B35" s="178" t="s">
        <v>431</v>
      </c>
      <c r="C35" s="88">
        <f>D35+Q35*$Q$36+R35*$R$36+S35*$S$36+T35*$T$36</f>
        <v>0</v>
      </c>
      <c r="D35" s="88">
        <f>SUM(E35:P35)*$D$36</f>
        <v>0</v>
      </c>
      <c r="E35" s="43"/>
      <c r="F35" s="43"/>
      <c r="G35" s="43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63" customHeight="1" x14ac:dyDescent="0.25">
      <c r="A36" s="10" t="s">
        <v>534</v>
      </c>
      <c r="B36" s="104" t="s">
        <v>434</v>
      </c>
      <c r="C36" s="50">
        <f>(D36+Q36+R36+S36+T36)/5</f>
        <v>0.1</v>
      </c>
      <c r="D36" s="50">
        <f>SUM(E36:P36)/12</f>
        <v>9.9999999999999992E-2</v>
      </c>
      <c r="E36" s="49">
        <v>0.1</v>
      </c>
      <c r="F36" s="49">
        <v>0.1</v>
      </c>
      <c r="G36" s="49">
        <v>0.1</v>
      </c>
      <c r="H36" s="49">
        <v>0.1</v>
      </c>
      <c r="I36" s="49">
        <v>0.1</v>
      </c>
      <c r="J36" s="49">
        <v>0.1</v>
      </c>
      <c r="K36" s="49">
        <v>0.1</v>
      </c>
      <c r="L36" s="49">
        <v>0.1</v>
      </c>
      <c r="M36" s="49">
        <v>0.1</v>
      </c>
      <c r="N36" s="49">
        <v>0.1</v>
      </c>
      <c r="O36" s="49">
        <v>0.1</v>
      </c>
      <c r="P36" s="49">
        <v>0.1</v>
      </c>
      <c r="Q36" s="49">
        <v>0.1</v>
      </c>
      <c r="R36" s="49">
        <v>0.1</v>
      </c>
      <c r="S36" s="49">
        <v>0.1</v>
      </c>
      <c r="T36" s="49">
        <v>0.1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60" x14ac:dyDescent="0.3">
      <c r="A37" s="16" t="s">
        <v>536</v>
      </c>
      <c r="B37" s="104" t="s">
        <v>435</v>
      </c>
      <c r="C37" s="39">
        <f>D37+Q37+R37+S37+T37</f>
        <v>0</v>
      </c>
      <c r="D37" s="40">
        <f>SUM(D38:D41)</f>
        <v>0</v>
      </c>
      <c r="E37" s="40">
        <f>SUM(E38:E41)*E42</f>
        <v>0</v>
      </c>
      <c r="F37" s="40">
        <f t="shared" ref="F37:P37" si="10">SUM(F38:F41)*F42</f>
        <v>0</v>
      </c>
      <c r="G37" s="40">
        <f t="shared" si="10"/>
        <v>0</v>
      </c>
      <c r="H37" s="40">
        <f t="shared" si="10"/>
        <v>0</v>
      </c>
      <c r="I37" s="40">
        <f t="shared" si="10"/>
        <v>0</v>
      </c>
      <c r="J37" s="40">
        <f t="shared" si="10"/>
        <v>0</v>
      </c>
      <c r="K37" s="40">
        <f t="shared" si="10"/>
        <v>0</v>
      </c>
      <c r="L37" s="40">
        <f t="shared" si="10"/>
        <v>0</v>
      </c>
      <c r="M37" s="40">
        <f t="shared" si="10"/>
        <v>0</v>
      </c>
      <c r="N37" s="40">
        <f t="shared" si="10"/>
        <v>0</v>
      </c>
      <c r="O37" s="40">
        <f t="shared" si="10"/>
        <v>0</v>
      </c>
      <c r="P37" s="40">
        <f t="shared" si="10"/>
        <v>0</v>
      </c>
      <c r="Q37" s="40">
        <f>SUM(Q38:Q41)*Q42</f>
        <v>0</v>
      </c>
      <c r="R37" s="40">
        <f>SUM(R38:R41)*R42</f>
        <v>0</v>
      </c>
      <c r="S37" s="40">
        <f>SUM(S38:S41)*S42</f>
        <v>0</v>
      </c>
      <c r="T37" s="40">
        <f>SUM(T38:T41)*T42</f>
        <v>0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78.75" customHeight="1" x14ac:dyDescent="0.25">
      <c r="A38" s="10" t="s">
        <v>537</v>
      </c>
      <c r="B38" s="104" t="s">
        <v>436</v>
      </c>
      <c r="C38" s="39">
        <f>D38+Q38*$Q$42+R38*$R$42+S38*$S$42+T38*$T$42</f>
        <v>0</v>
      </c>
      <c r="D38" s="41">
        <f>SUM(E38:P38)*$D$28</f>
        <v>0</v>
      </c>
      <c r="E38" s="43"/>
      <c r="F38" s="43"/>
      <c r="G38" s="43"/>
      <c r="H38" s="42">
        <f>'Б1.1.1'!$B$32*'Б1.1.1'!$B$33*'Б1.1.1'!$B$41</f>
        <v>0</v>
      </c>
      <c r="I38" s="42">
        <f>'Б1.1.1'!$B$32*'Б1.1.1'!$B$33*'Б1.1.1'!$B$41</f>
        <v>0</v>
      </c>
      <c r="J38" s="42">
        <f>'Б1.1.1'!$B$32*'Б1.1.1'!$B$33*'Б1.1.1'!$B$41</f>
        <v>0</v>
      </c>
      <c r="K38" s="42">
        <f>'Б1.1.1'!$B$32*'Б1.1.1'!$B$33*'Б1.1.1'!$B$41</f>
        <v>0</v>
      </c>
      <c r="L38" s="42">
        <f>'Б1.1.1'!$B$32*'Б1.1.1'!$B$33*'Б1.1.1'!$B$41</f>
        <v>0</v>
      </c>
      <c r="M38" s="42">
        <f>'Б1.1.1'!$B$32*'Б1.1.1'!$B$33*'Б1.1.1'!$B$41</f>
        <v>0</v>
      </c>
      <c r="N38" s="42">
        <f>'Б1.1.1'!$B$32*'Б1.1.1'!$B$33*'Б1.1.1'!$B$41</f>
        <v>0</v>
      </c>
      <c r="O38" s="42">
        <f>'Б1.1.1'!$B$32*'Б1.1.1'!$B$33*'Б1.1.1'!$B$41</f>
        <v>0</v>
      </c>
      <c r="P38" s="42">
        <f>'Б1.1.1'!$B$32*'Б1.1.1'!$B$33*'Б1.1.1'!$B$41</f>
        <v>0</v>
      </c>
      <c r="Q38" s="42">
        <f>$P$38*12</f>
        <v>0</v>
      </c>
      <c r="R38" s="42">
        <f>$P$38*12</f>
        <v>0</v>
      </c>
      <c r="S38" s="42">
        <v>0</v>
      </c>
      <c r="T38" s="42">
        <v>0</v>
      </c>
      <c r="U38" s="1" t="s">
        <v>162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47.25" customHeight="1" outlineLevel="1" x14ac:dyDescent="0.35">
      <c r="A39" s="7" t="s">
        <v>538</v>
      </c>
      <c r="B39" s="104" t="s">
        <v>437</v>
      </c>
      <c r="C39" s="39">
        <f>D39+Q39*$Q$42+R39*$R$42+S39*$S$42+T39*$T$42</f>
        <v>0</v>
      </c>
      <c r="D39" s="41">
        <f>SUM(E39:P39)*$D$28</f>
        <v>0</v>
      </c>
      <c r="E39" s="43"/>
      <c r="F39" s="43"/>
      <c r="G39" s="43"/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47.25" customHeight="1" outlineLevel="1" x14ac:dyDescent="0.35">
      <c r="A40" s="7" t="s">
        <v>539</v>
      </c>
      <c r="B40" s="104" t="s">
        <v>438</v>
      </c>
      <c r="C40" s="39">
        <f>D40+Q40*$Q$42+R40*$R$42+S40*$S$42+T40*$T$42</f>
        <v>0</v>
      </c>
      <c r="D40" s="41">
        <f>SUM(E40:P40)*$D$28</f>
        <v>0</v>
      </c>
      <c r="E40" s="43"/>
      <c r="F40" s="43"/>
      <c r="G40" s="43"/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64.5" customHeight="1" outlineLevel="1" x14ac:dyDescent="0.35">
      <c r="A41" s="7" t="s">
        <v>540</v>
      </c>
      <c r="B41" s="104" t="s">
        <v>439</v>
      </c>
      <c r="C41" s="39">
        <f>D41+Q41*$Q$42+R41*$R$42+S41*$S$42+T41*$T$42</f>
        <v>0</v>
      </c>
      <c r="D41" s="41">
        <f>SUM(E41:P41)*$D$28</f>
        <v>0</v>
      </c>
      <c r="E41" s="43"/>
      <c r="F41" s="43"/>
      <c r="G41" s="43"/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78.75" customHeight="1" x14ac:dyDescent="0.25">
      <c r="A42" s="10" t="s">
        <v>541</v>
      </c>
      <c r="B42" s="104" t="s">
        <v>441</v>
      </c>
      <c r="C42" s="50">
        <f>(D42+Q42+R42+S42+T42)/5</f>
        <v>0.1</v>
      </c>
      <c r="D42" s="50">
        <f>SUM(E42:P42)/12</f>
        <v>9.9999999999999992E-2</v>
      </c>
      <c r="E42" s="49">
        <v>0.1</v>
      </c>
      <c r="F42" s="49">
        <v>0.1</v>
      </c>
      <c r="G42" s="49">
        <v>0.1</v>
      </c>
      <c r="H42" s="49">
        <v>0.1</v>
      </c>
      <c r="I42" s="49">
        <v>0.1</v>
      </c>
      <c r="J42" s="49">
        <v>0.1</v>
      </c>
      <c r="K42" s="49">
        <v>0.1</v>
      </c>
      <c r="L42" s="49">
        <v>0.1</v>
      </c>
      <c r="M42" s="49">
        <v>0.1</v>
      </c>
      <c r="N42" s="49">
        <v>0.1</v>
      </c>
      <c r="O42" s="49">
        <v>0.1</v>
      </c>
      <c r="P42" s="49">
        <v>0.1</v>
      </c>
      <c r="Q42" s="49">
        <v>0.1</v>
      </c>
      <c r="R42" s="49">
        <v>0.1</v>
      </c>
      <c r="S42" s="49">
        <v>0.1</v>
      </c>
      <c r="T42" s="49">
        <v>0.1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 x14ac:dyDescent="0.25"/>
    <row r="244" spans="1:38" ht="15.75" customHeight="1" x14ac:dyDescent="0.25"/>
    <row r="245" spans="1:38" ht="15.75" customHeight="1" x14ac:dyDescent="0.25"/>
    <row r="246" spans="1:38" ht="15.75" customHeight="1" x14ac:dyDescent="0.25"/>
    <row r="247" spans="1:38" ht="15.75" customHeight="1" x14ac:dyDescent="0.25"/>
    <row r="248" spans="1:38" ht="15.75" customHeight="1" x14ac:dyDescent="0.25"/>
    <row r="249" spans="1:38" ht="15.75" customHeight="1" x14ac:dyDescent="0.25"/>
    <row r="250" spans="1:38" ht="15.75" customHeight="1" x14ac:dyDescent="0.25"/>
    <row r="251" spans="1:38" ht="15.75" customHeight="1" x14ac:dyDescent="0.25"/>
    <row r="252" spans="1:38" ht="15.75" customHeight="1" x14ac:dyDescent="0.25"/>
    <row r="253" spans="1:38" ht="15.75" customHeight="1" x14ac:dyDescent="0.25"/>
    <row r="254" spans="1:38" ht="15.75" customHeight="1" x14ac:dyDescent="0.25"/>
    <row r="255" spans="1:38" ht="15.75" customHeight="1" x14ac:dyDescent="0.25"/>
    <row r="256" spans="1:3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0">
    <mergeCell ref="A5:A7"/>
    <mergeCell ref="B5:B7"/>
    <mergeCell ref="C5:C7"/>
    <mergeCell ref="D5:T5"/>
    <mergeCell ref="D6:D7"/>
    <mergeCell ref="E6:P6"/>
    <mergeCell ref="Q6:Q7"/>
    <mergeCell ref="R6:R7"/>
    <mergeCell ref="S6:S7"/>
    <mergeCell ref="T6:T7"/>
  </mergeCells>
  <phoneticPr fontId="35" type="noConversion"/>
  <pageMargins left="0.7" right="0.7" top="0.75" bottom="0.75" header="0" footer="0"/>
  <pageSetup scale="5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CC00"/>
    <outlinePr summaryRight="0"/>
  </sheetPr>
  <dimension ref="A1:AL1001"/>
  <sheetViews>
    <sheetView workbookViewId="0">
      <selection activeCell="H13" sqref="H13"/>
    </sheetView>
  </sheetViews>
  <sheetFormatPr defaultColWidth="12.54296875" defaultRowHeight="15" customHeight="1" outlineLevelCol="1" x14ac:dyDescent="0.25"/>
  <cols>
    <col min="1" max="1" width="88.08984375" bestFit="1" customWidth="1"/>
    <col min="2" max="2" width="8.08984375" bestFit="1" customWidth="1"/>
    <col min="3" max="3" width="13.36328125" bestFit="1" customWidth="1"/>
    <col min="4" max="4" width="12.54296875" bestFit="1" customWidth="1"/>
    <col min="5" max="5" width="9.90625" bestFit="1" customWidth="1" outlineLevel="1"/>
    <col min="6" max="6" width="10.453125" customWidth="1" outlineLevel="1"/>
    <col min="7" max="7" width="9.90625" bestFit="1" customWidth="1" outlineLevel="1"/>
    <col min="8" max="16" width="11" bestFit="1" customWidth="1" outlineLevel="1"/>
    <col min="17" max="19" width="13.36328125" bestFit="1" customWidth="1"/>
    <col min="20" max="20" width="16.453125" bestFit="1" customWidth="1"/>
    <col min="21" max="21" width="12.54296875" bestFit="1" customWidth="1"/>
    <col min="22" max="38" width="7" customWidth="1"/>
  </cols>
  <sheetData>
    <row r="1" spans="1:38" ht="15.75" customHeight="1" x14ac:dyDescent="0.25">
      <c r="A1" s="1"/>
      <c r="B1" s="1"/>
      <c r="C1" s="1"/>
      <c r="D1" s="1"/>
      <c r="E1" s="1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6" t="s">
        <v>249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 x14ac:dyDescent="0.25">
      <c r="A3" s="3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6.5" customHeight="1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customHeight="1" x14ac:dyDescent="0.25">
      <c r="A5" s="224" t="s">
        <v>452</v>
      </c>
      <c r="B5" s="225" t="s">
        <v>506</v>
      </c>
      <c r="C5" s="192" t="s">
        <v>553</v>
      </c>
      <c r="D5" s="201" t="s">
        <v>559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4.25" customHeight="1" x14ac:dyDescent="0.25">
      <c r="A6" s="224"/>
      <c r="B6" s="225"/>
      <c r="C6" s="193"/>
      <c r="D6" s="199" t="s">
        <v>135</v>
      </c>
      <c r="E6" s="205" t="s">
        <v>31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6"/>
      <c r="Q6" s="191">
        <v>2</v>
      </c>
      <c r="R6" s="191">
        <v>3</v>
      </c>
      <c r="S6" s="191">
        <v>4</v>
      </c>
      <c r="T6" s="191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37.5" customHeight="1" x14ac:dyDescent="0.25">
      <c r="A7" s="220"/>
      <c r="B7" s="222"/>
      <c r="C7" s="194"/>
      <c r="D7" s="200"/>
      <c r="E7" s="159" t="s">
        <v>3</v>
      </c>
      <c r="F7" s="159" t="s">
        <v>4</v>
      </c>
      <c r="G7" s="159" t="s">
        <v>5</v>
      </c>
      <c r="H7" s="86" t="s">
        <v>42</v>
      </c>
      <c r="I7" s="86" t="s">
        <v>43</v>
      </c>
      <c r="J7" s="86" t="s">
        <v>44</v>
      </c>
      <c r="K7" s="86" t="s">
        <v>45</v>
      </c>
      <c r="L7" s="86" t="s">
        <v>46</v>
      </c>
      <c r="M7" s="86" t="s">
        <v>47</v>
      </c>
      <c r="N7" s="86" t="s">
        <v>48</v>
      </c>
      <c r="O7" s="86" t="s">
        <v>49</v>
      </c>
      <c r="P7" s="86" t="s">
        <v>50</v>
      </c>
      <c r="Q7" s="191"/>
      <c r="R7" s="191"/>
      <c r="S7" s="191"/>
      <c r="T7" s="19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3.25" customHeight="1" x14ac:dyDescent="0.25">
      <c r="A8" s="6" t="s">
        <v>543</v>
      </c>
      <c r="B8" s="104" t="s">
        <v>242</v>
      </c>
      <c r="C8" s="39">
        <f t="shared" ref="C8:T8" si="0">C9+C12</f>
        <v>805.61250000000007</v>
      </c>
      <c r="D8" s="39">
        <f t="shared" si="0"/>
        <v>219.71249999999998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24.412500000000001</v>
      </c>
      <c r="I8" s="39">
        <f t="shared" si="0"/>
        <v>24.412500000000001</v>
      </c>
      <c r="J8" s="39">
        <f t="shared" si="0"/>
        <v>24.412500000000001</v>
      </c>
      <c r="K8" s="39">
        <f t="shared" si="0"/>
        <v>24.412500000000001</v>
      </c>
      <c r="L8" s="39">
        <f t="shared" si="0"/>
        <v>24.412500000000001</v>
      </c>
      <c r="M8" s="39">
        <f t="shared" si="0"/>
        <v>24.412500000000001</v>
      </c>
      <c r="N8" s="39">
        <f t="shared" si="0"/>
        <v>24.412500000000001</v>
      </c>
      <c r="O8" s="39">
        <f t="shared" si="0"/>
        <v>24.412500000000001</v>
      </c>
      <c r="P8" s="39">
        <f t="shared" si="0"/>
        <v>24.412500000000001</v>
      </c>
      <c r="Q8" s="69">
        <f t="shared" si="0"/>
        <v>292.95000000000005</v>
      </c>
      <c r="R8" s="69">
        <f t="shared" si="0"/>
        <v>292.95000000000005</v>
      </c>
      <c r="S8" s="69">
        <f t="shared" si="0"/>
        <v>0</v>
      </c>
      <c r="T8" s="69">
        <f t="shared" si="0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31.5" customHeight="1" x14ac:dyDescent="0.25">
      <c r="A9" s="34" t="s">
        <v>545</v>
      </c>
      <c r="B9" s="104" t="s">
        <v>257</v>
      </c>
      <c r="C9" s="40">
        <f t="shared" ref="C9:T9" si="1">SUM(C10:C11)</f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40">
        <f t="shared" si="1"/>
        <v>0</v>
      </c>
      <c r="I9" s="40">
        <f t="shared" si="1"/>
        <v>0</v>
      </c>
      <c r="J9" s="40">
        <f t="shared" si="1"/>
        <v>0</v>
      </c>
      <c r="K9" s="40">
        <f t="shared" si="1"/>
        <v>0</v>
      </c>
      <c r="L9" s="40">
        <f t="shared" si="1"/>
        <v>0</v>
      </c>
      <c r="M9" s="40">
        <f t="shared" si="1"/>
        <v>0</v>
      </c>
      <c r="N9" s="40">
        <f t="shared" si="1"/>
        <v>0</v>
      </c>
      <c r="O9" s="40">
        <f t="shared" si="1"/>
        <v>0</v>
      </c>
      <c r="P9" s="40">
        <f t="shared" si="1"/>
        <v>0</v>
      </c>
      <c r="Q9" s="40">
        <f t="shared" si="1"/>
        <v>0</v>
      </c>
      <c r="R9" s="40">
        <f t="shared" si="1"/>
        <v>0</v>
      </c>
      <c r="S9" s="40">
        <f t="shared" si="1"/>
        <v>0</v>
      </c>
      <c r="T9" s="40">
        <f t="shared" si="1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1" x14ac:dyDescent="0.25">
      <c r="A10" s="10" t="s">
        <v>546</v>
      </c>
      <c r="B10" s="104" t="s">
        <v>259</v>
      </c>
      <c r="C10" s="41">
        <f>D10+Q10+R10+S10+T10</f>
        <v>0</v>
      </c>
      <c r="D10" s="41">
        <f>SUM(E10:P10)</f>
        <v>0</v>
      </c>
      <c r="E10" s="43"/>
      <c r="F10" s="43"/>
      <c r="G10" s="43"/>
      <c r="H10" s="42">
        <f>'Б1.1.1'!$B$45*'Б1.1.1'!$B$31*'Б1.1.1'!$B$41</f>
        <v>0</v>
      </c>
      <c r="I10" s="42">
        <f>'Б1.1.1'!$B$45*'Б1.1.1'!$B$31*'Б1.1.1'!$B$41</f>
        <v>0</v>
      </c>
      <c r="J10" s="42">
        <f>'Б1.1.1'!$B$45*'Б1.1.1'!$B$31*'Б1.1.1'!$B$41</f>
        <v>0</v>
      </c>
      <c r="K10" s="42">
        <f>'Б1.1.1'!$B$45*'Б1.1.1'!$B$31*'Б1.1.1'!$B$41</f>
        <v>0</v>
      </c>
      <c r="L10" s="42">
        <f>'Б1.1.1'!$B$45*'Б1.1.1'!$B$31*'Б1.1.1'!$B$41</f>
        <v>0</v>
      </c>
      <c r="M10" s="42">
        <f>'Б1.1.1'!$B$45*'Б1.1.1'!$B$31*'Б1.1.1'!$B$41</f>
        <v>0</v>
      </c>
      <c r="N10" s="42">
        <f>'Б1.1.1'!$B$45*'Б1.1.1'!$B$31*'Б1.1.1'!$B$41</f>
        <v>0</v>
      </c>
      <c r="O10" s="42">
        <f>'Б1.1.1'!$B$45*'Б1.1.1'!$B$31*'Б1.1.1'!$B$41</f>
        <v>0</v>
      </c>
      <c r="P10" s="42">
        <f>'Б1.1.1'!$B$45*'Б1.1.1'!$B$31*'Б1.1.1'!$B$41</f>
        <v>0</v>
      </c>
      <c r="Q10" s="42">
        <f>P10*12</f>
        <v>0</v>
      </c>
      <c r="R10" s="42">
        <f>Q10</f>
        <v>0</v>
      </c>
      <c r="S10" s="42"/>
      <c r="T10" s="42"/>
      <c r="U10" s="1" t="s">
        <v>162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31" x14ac:dyDescent="0.25">
      <c r="A11" s="10" t="s">
        <v>547</v>
      </c>
      <c r="B11" s="104" t="s">
        <v>260</v>
      </c>
      <c r="C11" s="41">
        <f>D11+Q11+R11+S11+T11</f>
        <v>0</v>
      </c>
      <c r="D11" s="41">
        <f>SUM(E11:P11)</f>
        <v>0</v>
      </c>
      <c r="E11" s="43"/>
      <c r="F11" s="43"/>
      <c r="G11" s="43"/>
      <c r="H11" s="42">
        <f>'Б1.1.1'!$B$46*'Б1.1.1'!$B$31*'Б1.1.1'!$B$41</f>
        <v>0</v>
      </c>
      <c r="I11" s="42">
        <f>'Б1.1.1'!$B$46*'Б1.1.1'!$B$31*'Б1.1.1'!$B$41</f>
        <v>0</v>
      </c>
      <c r="J11" s="42">
        <f>'Б1.1.1'!$B$46*'Б1.1.1'!$B$31*'Б1.1.1'!$B$41</f>
        <v>0</v>
      </c>
      <c r="K11" s="42">
        <f>'Б1.1.1'!$B$46*'Б1.1.1'!$B$31*'Б1.1.1'!$B$41</f>
        <v>0</v>
      </c>
      <c r="L11" s="42">
        <f>'Б1.1.1'!$B$46*'Б1.1.1'!$B$31*'Б1.1.1'!$B$41</f>
        <v>0</v>
      </c>
      <c r="M11" s="42">
        <f>'Б1.1.1'!$B$46*'Б1.1.1'!$B$31*'Б1.1.1'!$B$41</f>
        <v>0</v>
      </c>
      <c r="N11" s="42">
        <f>'Б1.1.1'!$B$46*'Б1.1.1'!$B$31*'Б1.1.1'!$B$41</f>
        <v>0</v>
      </c>
      <c r="O11" s="42">
        <f>'Б1.1.1'!$B$46*'Б1.1.1'!$B$31*'Б1.1.1'!$B$41</f>
        <v>0</v>
      </c>
      <c r="P11" s="42">
        <f>'Б1.1.1'!$B$46*'Б1.1.1'!$B$31*'Б1.1.1'!$B$41</f>
        <v>0</v>
      </c>
      <c r="Q11" s="42">
        <f>P11*12</f>
        <v>0</v>
      </c>
      <c r="R11" s="42">
        <f>Q11</f>
        <v>0</v>
      </c>
      <c r="S11" s="42"/>
      <c r="T11" s="42"/>
      <c r="U11" s="1" t="s">
        <v>162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4.75" customHeight="1" x14ac:dyDescent="0.25">
      <c r="A12" s="8" t="s">
        <v>548</v>
      </c>
      <c r="B12" s="104" t="s">
        <v>258</v>
      </c>
      <c r="C12" s="40">
        <f t="shared" ref="C12:T12" si="2">SUM(C13:C14)</f>
        <v>805.61250000000007</v>
      </c>
      <c r="D12" s="40">
        <f t="shared" si="2"/>
        <v>219.71249999999998</v>
      </c>
      <c r="E12" s="40">
        <f t="shared" si="2"/>
        <v>0</v>
      </c>
      <c r="F12" s="40">
        <f t="shared" si="2"/>
        <v>0</v>
      </c>
      <c r="G12" s="40">
        <f t="shared" si="2"/>
        <v>0</v>
      </c>
      <c r="H12" s="40">
        <f t="shared" si="2"/>
        <v>24.412500000000001</v>
      </c>
      <c r="I12" s="40">
        <f t="shared" si="2"/>
        <v>24.412500000000001</v>
      </c>
      <c r="J12" s="40">
        <f t="shared" si="2"/>
        <v>24.412500000000001</v>
      </c>
      <c r="K12" s="40">
        <f t="shared" si="2"/>
        <v>24.412500000000001</v>
      </c>
      <c r="L12" s="40">
        <f t="shared" si="2"/>
        <v>24.412500000000001</v>
      </c>
      <c r="M12" s="40">
        <f t="shared" si="2"/>
        <v>24.412500000000001</v>
      </c>
      <c r="N12" s="40">
        <f t="shared" si="2"/>
        <v>24.412500000000001</v>
      </c>
      <c r="O12" s="40">
        <f t="shared" si="2"/>
        <v>24.412500000000001</v>
      </c>
      <c r="P12" s="40">
        <f t="shared" si="2"/>
        <v>24.412500000000001</v>
      </c>
      <c r="Q12" s="40">
        <f t="shared" si="2"/>
        <v>292.95000000000005</v>
      </c>
      <c r="R12" s="40">
        <f t="shared" si="2"/>
        <v>292.95000000000005</v>
      </c>
      <c r="S12" s="40">
        <f t="shared" si="2"/>
        <v>0</v>
      </c>
      <c r="T12" s="40">
        <f t="shared" si="2"/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5.25" customHeight="1" x14ac:dyDescent="0.25">
      <c r="A13" s="101" t="s">
        <v>373</v>
      </c>
      <c r="B13" s="133" t="s">
        <v>261</v>
      </c>
      <c r="C13" s="132">
        <f>D13+Q13+R13+S13+T13</f>
        <v>805.61250000000007</v>
      </c>
      <c r="D13" s="41">
        <f>SUM(E13:P13)</f>
        <v>219.71249999999998</v>
      </c>
      <c r="E13" s="43"/>
      <c r="F13" s="43"/>
      <c r="G13" s="43"/>
      <c r="H13" s="42">
        <f>'Б1.1.1'!$B$33*'Б1.1.1'!$B$42*'Б1.1.1'!$B$30*'Б1.1.1'!$B$31*'Б1.1.1'!$B$41</f>
        <v>24.412500000000001</v>
      </c>
      <c r="I13" s="42">
        <f>'Б1.1.1'!$B$33*'Б1.1.1'!$B$42*'Б1.1.1'!$B$30*'Б1.1.1'!$B$31*'Б1.1.1'!$B$41</f>
        <v>24.412500000000001</v>
      </c>
      <c r="J13" s="42">
        <f>'Б1.1.1'!$B$33*'Б1.1.1'!$B$42*'Б1.1.1'!$B$30*'Б1.1.1'!$B$31*'Б1.1.1'!$B$41</f>
        <v>24.412500000000001</v>
      </c>
      <c r="K13" s="42">
        <f>'Б1.1.1'!$B$33*'Б1.1.1'!$B$42*'Б1.1.1'!$B$30*'Б1.1.1'!$B$31*'Б1.1.1'!$B$41</f>
        <v>24.412500000000001</v>
      </c>
      <c r="L13" s="42">
        <f>'Б1.1.1'!$B$33*'Б1.1.1'!$B$42*'Б1.1.1'!$B$30*'Б1.1.1'!$B$31*'Б1.1.1'!$B$41</f>
        <v>24.412500000000001</v>
      </c>
      <c r="M13" s="42">
        <f>'Б1.1.1'!$B$33*'Б1.1.1'!$B$42*'Б1.1.1'!$B$30*'Б1.1.1'!$B$31*'Б1.1.1'!$B$41</f>
        <v>24.412500000000001</v>
      </c>
      <c r="N13" s="42">
        <f>'Б1.1.1'!$B$33*'Б1.1.1'!$B$42*'Б1.1.1'!$B$30*'Б1.1.1'!$B$31*'Б1.1.1'!$B$41</f>
        <v>24.412500000000001</v>
      </c>
      <c r="O13" s="42">
        <f>'Б1.1.1'!$B$33*'Б1.1.1'!$B$42*'Б1.1.1'!$B$30*'Б1.1.1'!$B$31*'Б1.1.1'!$B$41</f>
        <v>24.412500000000001</v>
      </c>
      <c r="P13" s="42">
        <f>'Б1.1.1'!$B$33*'Б1.1.1'!$B$42*'Б1.1.1'!$B$30*'Б1.1.1'!$B$31*'Б1.1.1'!$B$41</f>
        <v>24.412500000000001</v>
      </c>
      <c r="Q13" s="42">
        <f>P13*12</f>
        <v>292.95000000000005</v>
      </c>
      <c r="R13" s="42">
        <f>Q13</f>
        <v>292.95000000000005</v>
      </c>
      <c r="S13" s="42"/>
      <c r="T13" s="42"/>
      <c r="U13" s="1" t="s">
        <v>162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31" x14ac:dyDescent="0.25">
      <c r="A14" s="101" t="s">
        <v>374</v>
      </c>
      <c r="B14" s="133" t="s">
        <v>262</v>
      </c>
      <c r="C14" s="132">
        <f>D14+Q14+R14+S14+T14</f>
        <v>0</v>
      </c>
      <c r="D14" s="41">
        <f>SUM(E14:P14)</f>
        <v>0</v>
      </c>
      <c r="E14" s="43"/>
      <c r="F14" s="43"/>
      <c r="G14" s="43"/>
      <c r="H14" s="42">
        <f>'Б1.1.1'!$B$43*'Б1.1.1'!$B$33*'Б1.1.1'!$B$31*'Б1.1.1'!$B$30*'Б1.1.1'!$B$41</f>
        <v>0</v>
      </c>
      <c r="I14" s="42">
        <f>'Б1.1.1'!$B$43*'Б1.1.1'!$B$33*'Б1.1.1'!$B$31*'Б1.1.1'!$B$30*'Б1.1.1'!$B$41</f>
        <v>0</v>
      </c>
      <c r="J14" s="42">
        <f>'Б1.1.1'!$B$43*'Б1.1.1'!$B$33*'Б1.1.1'!$B$31*'Б1.1.1'!$B$30*'Б1.1.1'!$B$41</f>
        <v>0</v>
      </c>
      <c r="K14" s="42">
        <f>'Б1.1.1'!$B$43*'Б1.1.1'!$B$33*'Б1.1.1'!$B$31*'Б1.1.1'!$B$30*'Б1.1.1'!$B$41</f>
        <v>0</v>
      </c>
      <c r="L14" s="42">
        <f>'Б1.1.1'!$B$43*'Б1.1.1'!$B$33*'Б1.1.1'!$B$31*'Б1.1.1'!$B$30*'Б1.1.1'!$B$41</f>
        <v>0</v>
      </c>
      <c r="M14" s="42">
        <f>'Б1.1.1'!$B$43*'Б1.1.1'!$B$33*'Б1.1.1'!$B$31*'Б1.1.1'!$B$30*'Б1.1.1'!$B$41</f>
        <v>0</v>
      </c>
      <c r="N14" s="42">
        <f>'Б1.1.1'!$B$43*'Б1.1.1'!$B$33*'Б1.1.1'!$B$31*'Б1.1.1'!$B$30*'Б1.1.1'!$B$41</f>
        <v>0</v>
      </c>
      <c r="O14" s="42">
        <f>'Б1.1.1'!$B$43*'Б1.1.1'!$B$33*'Б1.1.1'!$B$31*'Б1.1.1'!$B$30*'Б1.1.1'!$B$41</f>
        <v>0</v>
      </c>
      <c r="P14" s="42">
        <f>'Б1.1.1'!$B$43*'Б1.1.1'!$B$33*'Б1.1.1'!$B$31*'Б1.1.1'!$B$30*'Б1.1.1'!$B$41</f>
        <v>0</v>
      </c>
      <c r="Q14" s="42">
        <f>P14*12</f>
        <v>0</v>
      </c>
      <c r="R14" s="42">
        <f>Q14</f>
        <v>0</v>
      </c>
      <c r="S14" s="42"/>
      <c r="T14" s="42"/>
      <c r="U14" s="1" t="s">
        <v>162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 x14ac:dyDescent="0.25"/>
    <row r="223" spans="1:38" ht="15.75" customHeight="1" x14ac:dyDescent="0.25"/>
    <row r="224" spans="1:3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0">
    <mergeCell ref="A5:A7"/>
    <mergeCell ref="B5:B7"/>
    <mergeCell ref="C5:C7"/>
    <mergeCell ref="D5:T5"/>
    <mergeCell ref="D6:D7"/>
    <mergeCell ref="E6:P6"/>
    <mergeCell ref="Q6:Q7"/>
    <mergeCell ref="R6:R7"/>
    <mergeCell ref="S6:S7"/>
    <mergeCell ref="T6:T7"/>
  </mergeCells>
  <phoneticPr fontId="35" type="noConversion"/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Right="0"/>
  </sheetPr>
  <dimension ref="A1:AL987"/>
  <sheetViews>
    <sheetView workbookViewId="0">
      <selection activeCell="D51" sqref="D51"/>
    </sheetView>
  </sheetViews>
  <sheetFormatPr defaultColWidth="12.54296875" defaultRowHeight="15" customHeight="1" outlineLevelCol="1" x14ac:dyDescent="0.25"/>
  <cols>
    <col min="1" max="1" width="28.90625" customWidth="1"/>
    <col min="2" max="2" width="9" customWidth="1"/>
    <col min="3" max="3" width="13.36328125" bestFit="1" customWidth="1"/>
    <col min="4" max="4" width="12.453125" bestFit="1" customWidth="1"/>
    <col min="5" max="16" width="11.36328125" customWidth="1" outlineLevel="1"/>
    <col min="17" max="17" width="13.36328125" bestFit="1" customWidth="1"/>
    <col min="18" max="18" width="23.08984375" bestFit="1" customWidth="1"/>
    <col min="19" max="19" width="13.36328125" bestFit="1" customWidth="1"/>
    <col min="20" max="20" width="15.90625" bestFit="1" customWidth="1"/>
    <col min="21" max="25" width="8.08984375" bestFit="1" customWidth="1"/>
    <col min="26" max="26" width="10" customWidth="1"/>
    <col min="27" max="27" width="12.08984375" customWidth="1"/>
    <col min="28" max="38" width="7" customWidth="1"/>
  </cols>
  <sheetData>
    <row r="1" spans="1:38" ht="12.75" customHeight="1" x14ac:dyDescent="0.25">
      <c r="A1" s="1"/>
      <c r="B1" s="1"/>
      <c r="C1" s="1"/>
      <c r="D1" s="1"/>
      <c r="E1" s="1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 customHeight="1" x14ac:dyDescent="0.25">
      <c r="A2" s="1"/>
      <c r="B2" s="1"/>
      <c r="C2" s="1"/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6" t="s">
        <v>250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.5" customHeight="1" x14ac:dyDescent="0.25">
      <c r="A3" s="195" t="s">
        <v>26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6.5" customHeight="1" x14ac:dyDescent="0.25">
      <c r="A5" s="197" t="s">
        <v>142</v>
      </c>
      <c r="B5" s="188" t="s">
        <v>27</v>
      </c>
      <c r="C5" s="192" t="s">
        <v>553</v>
      </c>
      <c r="D5" s="199" t="s">
        <v>28</v>
      </c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6.5" customHeight="1" x14ac:dyDescent="0.25">
      <c r="A6" s="198"/>
      <c r="B6" s="189"/>
      <c r="C6" s="193"/>
      <c r="D6" s="199" t="s">
        <v>141</v>
      </c>
      <c r="E6" s="223" t="s">
        <v>31</v>
      </c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9"/>
      <c r="Q6" s="191">
        <v>2</v>
      </c>
      <c r="R6" s="191">
        <v>3</v>
      </c>
      <c r="S6" s="191">
        <v>4</v>
      </c>
      <c r="T6" s="191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2.5" customHeight="1" x14ac:dyDescent="0.25">
      <c r="A7" s="194"/>
      <c r="B7" s="194"/>
      <c r="C7" s="194"/>
      <c r="D7" s="200"/>
      <c r="E7" s="85" t="s">
        <v>39</v>
      </c>
      <c r="F7" s="85" t="s">
        <v>40</v>
      </c>
      <c r="G7" s="85" t="s">
        <v>41</v>
      </c>
      <c r="H7" s="86" t="s">
        <v>42</v>
      </c>
      <c r="I7" s="86" t="s">
        <v>43</v>
      </c>
      <c r="J7" s="86" t="s">
        <v>44</v>
      </c>
      <c r="K7" s="86" t="s">
        <v>45</v>
      </c>
      <c r="L7" s="86" t="s">
        <v>46</v>
      </c>
      <c r="M7" s="86" t="s">
        <v>47</v>
      </c>
      <c r="N7" s="86" t="s">
        <v>48</v>
      </c>
      <c r="O7" s="86" t="s">
        <v>49</v>
      </c>
      <c r="P7" s="87" t="s">
        <v>50</v>
      </c>
      <c r="Q7" s="191"/>
      <c r="R7" s="191"/>
      <c r="S7" s="191"/>
      <c r="T7" s="19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1" customHeight="1" x14ac:dyDescent="0.25">
      <c r="A8" s="70" t="s">
        <v>140</v>
      </c>
      <c r="B8" s="72" t="s">
        <v>138</v>
      </c>
      <c r="C8" s="39">
        <f>D8+Q8+R8+S8+T8</f>
        <v>10260548.07</v>
      </c>
      <c r="D8" s="39">
        <f>SUM(D9:D12)</f>
        <v>3838586.31</v>
      </c>
      <c r="E8" s="39">
        <f t="shared" ref="E8:T8" si="0">SUM(E9:E12)</f>
        <v>475111.3</v>
      </c>
      <c r="F8" s="39">
        <f t="shared" si="0"/>
        <v>364441.3</v>
      </c>
      <c r="G8" s="39">
        <f t="shared" si="0"/>
        <v>585781.30000000005</v>
      </c>
      <c r="H8" s="39">
        <f t="shared" si="0"/>
        <v>265909.49</v>
      </c>
      <c r="I8" s="39">
        <f t="shared" si="0"/>
        <v>265909.49</v>
      </c>
      <c r="J8" s="39">
        <f t="shared" si="0"/>
        <v>268676.24</v>
      </c>
      <c r="K8" s="39">
        <f t="shared" si="0"/>
        <v>265909.49</v>
      </c>
      <c r="L8" s="39">
        <f t="shared" si="0"/>
        <v>265909.49</v>
      </c>
      <c r="M8" s="39">
        <f t="shared" si="0"/>
        <v>268676.24</v>
      </c>
      <c r="N8" s="39">
        <f t="shared" si="0"/>
        <v>265909.49</v>
      </c>
      <c r="O8" s="39">
        <f t="shared" si="0"/>
        <v>265909.49</v>
      </c>
      <c r="P8" s="39">
        <f t="shared" si="0"/>
        <v>280442.99</v>
      </c>
      <c r="Q8" s="39">
        <f t="shared" si="0"/>
        <v>3210980.8800000004</v>
      </c>
      <c r="R8" s="39">
        <f t="shared" si="0"/>
        <v>3210980.8800000004</v>
      </c>
      <c r="S8" s="39">
        <f t="shared" si="0"/>
        <v>0</v>
      </c>
      <c r="T8" s="39">
        <f t="shared" si="0"/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47.25" customHeight="1" x14ac:dyDescent="0.25">
      <c r="A9" s="71" t="s">
        <v>32</v>
      </c>
      <c r="B9" s="104" t="s">
        <v>164</v>
      </c>
      <c r="C9" s="74">
        <f>D9+Q9+R9+S9+T9</f>
        <v>1425333.9</v>
      </c>
      <c r="D9" s="74">
        <f>SUM(E9:P9)</f>
        <v>1425333.9</v>
      </c>
      <c r="E9" s="39">
        <f>'В1.1.1'!D7</f>
        <v>475111.3</v>
      </c>
      <c r="F9" s="39">
        <f>'В1.1.1'!E7</f>
        <v>364441.3</v>
      </c>
      <c r="G9" s="39">
        <f>'В1.1.1'!F7</f>
        <v>585781.30000000005</v>
      </c>
      <c r="H9" s="39">
        <f>'В1.1.1'!G7</f>
        <v>0</v>
      </c>
      <c r="I9" s="39">
        <f>'В1.1.1'!H7</f>
        <v>0</v>
      </c>
      <c r="J9" s="39">
        <f>'В1.1.1'!I7</f>
        <v>0</v>
      </c>
      <c r="K9" s="39">
        <f>'В1.1.1'!J7</f>
        <v>0</v>
      </c>
      <c r="L9" s="39">
        <f>'В1.1.1'!K7</f>
        <v>0</v>
      </c>
      <c r="M9" s="39">
        <f>'В1.1.1'!L7</f>
        <v>0</v>
      </c>
      <c r="N9" s="39">
        <f>'В1.1.1'!M7</f>
        <v>0</v>
      </c>
      <c r="O9" s="39">
        <f>'В1.1.1'!N7</f>
        <v>0</v>
      </c>
      <c r="P9" s="39">
        <f>'В1.1.1'!O7</f>
        <v>0</v>
      </c>
      <c r="Q9" s="41"/>
      <c r="R9" s="41"/>
      <c r="S9" s="41"/>
      <c r="T9" s="4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1" x14ac:dyDescent="0.25">
      <c r="A10" s="71" t="s">
        <v>33</v>
      </c>
      <c r="B10" s="104" t="s">
        <v>451</v>
      </c>
      <c r="C10" s="74">
        <f>D10+Q10+R10+S10+T10</f>
        <v>1046570.9375</v>
      </c>
      <c r="D10" s="74">
        <f>SUM(E10:P10)</f>
        <v>285428.4375</v>
      </c>
      <c r="E10" s="39">
        <f>'В1.2.1'!E8</f>
        <v>0</v>
      </c>
      <c r="F10" s="39">
        <f>'В1.2.1'!F8</f>
        <v>0</v>
      </c>
      <c r="G10" s="39">
        <f>'В1.2.1'!G8</f>
        <v>0</v>
      </c>
      <c r="H10" s="39">
        <f>'В1.2.1'!H8</f>
        <v>30792.020833333332</v>
      </c>
      <c r="I10" s="39">
        <f>'В1.2.1'!I8</f>
        <v>30792.020833333332</v>
      </c>
      <c r="J10" s="39">
        <f>'В1.2.1'!J8</f>
        <v>33558.770833333336</v>
      </c>
      <c r="K10" s="39">
        <f>'В1.2.1'!K8</f>
        <v>30792.020833333332</v>
      </c>
      <c r="L10" s="39">
        <f>'В1.2.1'!L8</f>
        <v>30792.020833333332</v>
      </c>
      <c r="M10" s="39">
        <f>'В1.2.1'!M8</f>
        <v>33558.770833333336</v>
      </c>
      <c r="N10" s="39">
        <f>'В1.2.1'!N8</f>
        <v>30792.020833333332</v>
      </c>
      <c r="O10" s="39">
        <f>'В1.2.1'!O8</f>
        <v>30792.020833333332</v>
      </c>
      <c r="P10" s="39">
        <f>'В1.2.1'!P8</f>
        <v>33558.770833333336</v>
      </c>
      <c r="Q10" s="74">
        <f>'В1.2.1'!Q8</f>
        <v>380571.25</v>
      </c>
      <c r="R10" s="74">
        <f>'В1.2.1'!R8</f>
        <v>380571.25</v>
      </c>
      <c r="S10" s="74">
        <f>'В1.2.1'!S8</f>
        <v>0</v>
      </c>
      <c r="T10" s="74">
        <f>'В1.2.1'!T8</f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31" x14ac:dyDescent="0.25">
      <c r="A11" s="71" t="s">
        <v>35</v>
      </c>
      <c r="B11" s="104" t="s">
        <v>241</v>
      </c>
      <c r="C11" s="74">
        <f>D11+Q11+R11+S11+T11</f>
        <v>7787837.620000001</v>
      </c>
      <c r="D11" s="74">
        <f>SUM(E11:P11)</f>
        <v>2127604.2600000002</v>
      </c>
      <c r="E11" s="39">
        <f>'В1.2.2'!E8</f>
        <v>0</v>
      </c>
      <c r="F11" s="39">
        <f>'В1.2.2'!F8</f>
        <v>0</v>
      </c>
      <c r="G11" s="39">
        <f>'В1.2.2'!G8</f>
        <v>0</v>
      </c>
      <c r="H11" s="39">
        <f>'В1.2.2'!H8</f>
        <v>235093.05666666667</v>
      </c>
      <c r="I11" s="39">
        <f>'В1.2.2'!I8</f>
        <v>235093.05666666667</v>
      </c>
      <c r="J11" s="39">
        <f>'В1.2.2'!J8</f>
        <v>235093.05666666667</v>
      </c>
      <c r="K11" s="39">
        <f>'В1.2.2'!K8</f>
        <v>235093.05666666667</v>
      </c>
      <c r="L11" s="39">
        <f>'В1.2.2'!L8</f>
        <v>235093.05666666667</v>
      </c>
      <c r="M11" s="39">
        <f>'В1.2.2'!M8</f>
        <v>235093.05666666667</v>
      </c>
      <c r="N11" s="39">
        <f>'В1.2.2'!N8</f>
        <v>235093.05666666667</v>
      </c>
      <c r="O11" s="39">
        <f>'В1.2.2'!O8</f>
        <v>235093.05666666667</v>
      </c>
      <c r="P11" s="39">
        <f>'В1.2.2'!P8</f>
        <v>246859.80666666667</v>
      </c>
      <c r="Q11" s="74">
        <f>'В1.2.2'!Q8</f>
        <v>2830116.68</v>
      </c>
      <c r="R11" s="74">
        <f>'В1.2.2'!R8</f>
        <v>2830116.68</v>
      </c>
      <c r="S11" s="74">
        <f>'В1.2.2'!S8</f>
        <v>0</v>
      </c>
      <c r="T11" s="74">
        <f>'В1.2.2'!T8</f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31" x14ac:dyDescent="0.25">
      <c r="A12" s="71" t="s">
        <v>137</v>
      </c>
      <c r="B12" s="104" t="s">
        <v>242</v>
      </c>
      <c r="C12" s="74">
        <f>D12+Q12+R12+S12+T12</f>
        <v>805.61250000000007</v>
      </c>
      <c r="D12" s="74">
        <f>SUM(E12:P12)</f>
        <v>219.71249999999998</v>
      </c>
      <c r="E12" s="39">
        <f>'В1.2.3'!E8</f>
        <v>0</v>
      </c>
      <c r="F12" s="39">
        <f>'В1.2.3'!F8</f>
        <v>0</v>
      </c>
      <c r="G12" s="39">
        <f>'В1.2.3'!G8</f>
        <v>0</v>
      </c>
      <c r="H12" s="39">
        <f>'В1.2.3'!H8</f>
        <v>24.412500000000001</v>
      </c>
      <c r="I12" s="39">
        <f>'В1.2.3'!I8</f>
        <v>24.412500000000001</v>
      </c>
      <c r="J12" s="39">
        <f>'В1.2.3'!J8</f>
        <v>24.412500000000001</v>
      </c>
      <c r="K12" s="39">
        <f>'В1.2.3'!K8</f>
        <v>24.412500000000001</v>
      </c>
      <c r="L12" s="39">
        <f>'В1.2.3'!L8</f>
        <v>24.412500000000001</v>
      </c>
      <c r="M12" s="39">
        <f>'В1.2.3'!M8</f>
        <v>24.412500000000001</v>
      </c>
      <c r="N12" s="39">
        <f>'В1.2.3'!N8</f>
        <v>24.412500000000001</v>
      </c>
      <c r="O12" s="39">
        <f>'В1.2.3'!O8</f>
        <v>24.412500000000001</v>
      </c>
      <c r="P12" s="39">
        <f>'В1.2.3'!P8</f>
        <v>24.412500000000001</v>
      </c>
      <c r="Q12" s="74">
        <f>'В1.2.3'!Q8</f>
        <v>292.95000000000005</v>
      </c>
      <c r="R12" s="74">
        <f>'В1.2.3'!R8</f>
        <v>292.95000000000005</v>
      </c>
      <c r="S12" s="74">
        <f>'В1.2.3'!S8</f>
        <v>0</v>
      </c>
      <c r="T12" s="74">
        <f>'В1.2.3'!T8</f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4.75" customHeight="1" x14ac:dyDescent="0.25">
      <c r="A13" s="38" t="s">
        <v>240</v>
      </c>
      <c r="B13" s="73" t="s">
        <v>139</v>
      </c>
      <c r="C13" s="40">
        <f>C8/$Q$15</f>
        <v>256.51370175</v>
      </c>
      <c r="D13" s="40">
        <f>D8/$Q$15</f>
        <v>95.964657750000001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>
        <f>Q8/$Q$15</f>
        <v>80.274522000000005</v>
      </c>
      <c r="R13" s="40">
        <f>R8/$Q$15</f>
        <v>80.274522000000005</v>
      </c>
      <c r="S13" s="40">
        <f>S8/$Q$15</f>
        <v>0</v>
      </c>
      <c r="T13" s="40">
        <f>T8/$Q$15</f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2.75" customHeight="1" x14ac:dyDescent="0.25">
      <c r="A15" s="1"/>
      <c r="B15" s="1"/>
      <c r="C15" s="1"/>
      <c r="D15" s="51" t="s">
        <v>29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172">
        <f>'Б1.1.1'!B52</f>
        <v>40000</v>
      </c>
      <c r="R15" s="1" t="s">
        <v>30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2.75" customHeight="1" x14ac:dyDescent="0.25">
      <c r="A16" s="129"/>
      <c r="B16" s="1"/>
      <c r="C16" s="57"/>
      <c r="D16" s="5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2.75" customHeight="1" x14ac:dyDescent="0.25">
      <c r="A17" s="1"/>
      <c r="B17" s="1"/>
      <c r="C17" s="156"/>
      <c r="D17" s="15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7"/>
      <c r="R17" s="57"/>
      <c r="S17" s="57"/>
      <c r="T17" s="5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2.75" customHeight="1" x14ac:dyDescent="0.25">
      <c r="A18" s="1"/>
      <c r="C18" s="156"/>
      <c r="D18" s="15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58"/>
      <c r="R18" s="58"/>
      <c r="S18" s="58"/>
      <c r="T18" s="5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2.75" customHeight="1" x14ac:dyDescent="0.25">
      <c r="A19" s="1"/>
      <c r="B19" s="1"/>
      <c r="C19" s="156"/>
      <c r="D19" s="15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56"/>
      <c r="R19" s="156"/>
      <c r="S19" s="156"/>
      <c r="T19" s="156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2.75" customHeight="1" x14ac:dyDescent="0.25">
      <c r="A20" s="1"/>
      <c r="B20" s="1"/>
      <c r="C20" s="156"/>
      <c r="D20" s="15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56"/>
      <c r="R20" s="156"/>
      <c r="S20" s="156"/>
      <c r="T20" s="156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2.75" customHeight="1" x14ac:dyDescent="0.25">
      <c r="A21" s="1"/>
      <c r="B21" s="1"/>
      <c r="C21" s="157"/>
      <c r="D21" s="15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56"/>
      <c r="R21" s="156"/>
      <c r="S21" s="156"/>
      <c r="T21" s="156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57"/>
      <c r="R22" s="157"/>
      <c r="S22" s="157"/>
      <c r="T22" s="15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11">
    <mergeCell ref="A3:T3"/>
    <mergeCell ref="A5:A7"/>
    <mergeCell ref="B5:B7"/>
    <mergeCell ref="C5:C7"/>
    <mergeCell ref="D5:T5"/>
    <mergeCell ref="E6:P6"/>
    <mergeCell ref="D6:D7"/>
    <mergeCell ref="Q6:Q7"/>
    <mergeCell ref="R6:R7"/>
    <mergeCell ref="S6:S7"/>
    <mergeCell ref="T6:T7"/>
  </mergeCells>
  <phoneticPr fontId="35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CC00"/>
    <outlinePr summaryRight="0"/>
  </sheetPr>
  <dimension ref="A1:L1000"/>
  <sheetViews>
    <sheetView zoomScale="129" workbookViewId="0">
      <selection activeCell="A3" sqref="A3:D3"/>
    </sheetView>
  </sheetViews>
  <sheetFormatPr defaultColWidth="12.54296875" defaultRowHeight="15" customHeight="1" x14ac:dyDescent="0.25"/>
  <cols>
    <col min="1" max="1" width="34.6328125" customWidth="1"/>
    <col min="2" max="2" width="16.54296875" customWidth="1"/>
    <col min="3" max="3" width="14.54296875" bestFit="1" customWidth="1"/>
    <col min="4" max="4" width="16.26953125" bestFit="1" customWidth="1"/>
    <col min="5" max="12" width="7" customWidth="1"/>
    <col min="13" max="15" width="11" customWidth="1"/>
  </cols>
  <sheetData>
    <row r="1" spans="1:12" ht="15.75" customHeight="1" x14ac:dyDescent="0.25">
      <c r="A1" s="1"/>
      <c r="B1" s="1"/>
      <c r="D1" s="26" t="s">
        <v>127</v>
      </c>
      <c r="E1" s="1"/>
      <c r="F1" s="1"/>
      <c r="G1" s="1"/>
      <c r="H1" s="1"/>
      <c r="I1" s="1"/>
      <c r="J1" s="1"/>
      <c r="K1" s="1"/>
      <c r="L1" s="1"/>
    </row>
    <row r="2" spans="1:12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6" customHeight="1" x14ac:dyDescent="0.25">
      <c r="A3" s="230" t="s">
        <v>36</v>
      </c>
      <c r="B3" s="231"/>
      <c r="C3" s="231"/>
      <c r="D3" s="23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8.5" customHeight="1" x14ac:dyDescent="0.25">
      <c r="A5" s="197" t="s">
        <v>37</v>
      </c>
      <c r="B5" s="192" t="s">
        <v>268</v>
      </c>
      <c r="C5" s="192" t="s">
        <v>38</v>
      </c>
      <c r="D5" s="233" t="s">
        <v>143</v>
      </c>
      <c r="E5" s="1"/>
      <c r="F5" s="1"/>
      <c r="G5" s="1"/>
      <c r="H5" s="1"/>
      <c r="I5" s="1"/>
      <c r="J5" s="1"/>
      <c r="K5" s="1"/>
      <c r="L5" s="1"/>
    </row>
    <row r="6" spans="1:12" ht="19.5" customHeight="1" x14ac:dyDescent="0.25">
      <c r="A6" s="194"/>
      <c r="B6" s="232"/>
      <c r="C6" s="194"/>
      <c r="D6" s="194"/>
      <c r="E6" s="1"/>
      <c r="F6" s="1"/>
      <c r="G6" s="1"/>
      <c r="H6" s="1"/>
      <c r="I6" s="1"/>
      <c r="J6" s="1"/>
      <c r="K6" s="1"/>
      <c r="L6" s="1"/>
    </row>
    <row r="7" spans="1:12" ht="36" customHeight="1" x14ac:dyDescent="0.25">
      <c r="A7" s="100" t="s">
        <v>51</v>
      </c>
      <c r="B7" s="145" t="s">
        <v>300</v>
      </c>
      <c r="C7" s="137">
        <f>SUM(C8:C12)</f>
        <v>12749184</v>
      </c>
      <c r="D7" s="39">
        <f>SUM(D8:D12)</f>
        <v>1062432</v>
      </c>
      <c r="E7" s="1"/>
      <c r="F7" s="1"/>
      <c r="G7" s="1"/>
      <c r="H7" s="1"/>
      <c r="I7" s="1"/>
      <c r="J7" s="1"/>
      <c r="K7" s="1"/>
      <c r="L7" s="1"/>
    </row>
    <row r="8" spans="1:12" ht="30.75" customHeight="1" x14ac:dyDescent="0.25">
      <c r="A8" s="101" t="s">
        <v>52</v>
      </c>
      <c r="B8" s="145" t="s">
        <v>307</v>
      </c>
      <c r="C8" s="138">
        <f>'Б1.1.1'!B13*12</f>
        <v>0</v>
      </c>
      <c r="D8" s="42">
        <f>C8/12</f>
        <v>0</v>
      </c>
      <c r="E8" s="1"/>
      <c r="F8" s="1"/>
      <c r="G8" s="1"/>
      <c r="H8" s="92"/>
      <c r="I8" s="92"/>
      <c r="J8" s="1"/>
      <c r="K8" s="1"/>
      <c r="L8" s="1"/>
    </row>
    <row r="9" spans="1:12" ht="47.25" customHeight="1" x14ac:dyDescent="0.35">
      <c r="A9" s="96" t="s">
        <v>53</v>
      </c>
      <c r="B9" s="104" t="s">
        <v>308</v>
      </c>
      <c r="C9" s="138">
        <f>SUM('Б1.1.1'!B19:B22)*'Б1.1.1'!B23*12</f>
        <v>8160000</v>
      </c>
      <c r="D9" s="42">
        <f>C9/12</f>
        <v>680000</v>
      </c>
      <c r="E9" s="1"/>
      <c r="F9" s="1"/>
      <c r="G9" s="1"/>
      <c r="H9" s="92"/>
      <c r="I9" s="92"/>
      <c r="J9" s="1"/>
      <c r="K9" s="1"/>
      <c r="L9" s="1"/>
    </row>
    <row r="10" spans="1:12" ht="31.5" customHeight="1" x14ac:dyDescent="0.35">
      <c r="A10" s="96" t="s">
        <v>54</v>
      </c>
      <c r="B10" s="104" t="s">
        <v>309</v>
      </c>
      <c r="C10" s="132">
        <f>C9*0.302</f>
        <v>2464320</v>
      </c>
      <c r="D10" s="42">
        <f>C10/12</f>
        <v>205360</v>
      </c>
      <c r="E10" s="1"/>
      <c r="F10" s="1"/>
      <c r="G10" s="1"/>
      <c r="H10" s="92"/>
      <c r="I10" s="92"/>
      <c r="J10" s="1"/>
      <c r="K10" s="1"/>
      <c r="L10" s="1"/>
    </row>
    <row r="11" spans="1:12" ht="93" x14ac:dyDescent="0.35">
      <c r="A11" s="96" t="s">
        <v>265</v>
      </c>
      <c r="B11" s="104" t="s">
        <v>310</v>
      </c>
      <c r="C11" s="138">
        <v>0</v>
      </c>
      <c r="D11" s="42">
        <f>C11/12</f>
        <v>0</v>
      </c>
      <c r="E11" s="1"/>
      <c r="F11" s="1"/>
      <c r="G11" s="1"/>
      <c r="H11" s="1"/>
      <c r="I11" s="1"/>
      <c r="J11" s="1"/>
      <c r="K11" s="1"/>
      <c r="L11" s="1"/>
    </row>
    <row r="12" spans="1:12" ht="31.5" customHeight="1" x14ac:dyDescent="0.35">
      <c r="A12" s="96" t="s">
        <v>55</v>
      </c>
      <c r="B12" s="104" t="s">
        <v>311</v>
      </c>
      <c r="C12" s="132">
        <f>SUM(C8:C11)*0.2</f>
        <v>2124864</v>
      </c>
      <c r="D12" s="41">
        <f>$C$12/12</f>
        <v>177072</v>
      </c>
      <c r="E12" s="1"/>
      <c r="F12" s="1"/>
      <c r="G12" s="1"/>
      <c r="H12" s="1"/>
      <c r="I12" s="1"/>
      <c r="J12" s="1"/>
      <c r="K12" s="1"/>
      <c r="L12" s="1"/>
    </row>
    <row r="13" spans="1:12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/>
    <row r="222" spans="1:12" ht="15.75" customHeight="1" x14ac:dyDescent="0.25"/>
    <row r="223" spans="1:12" ht="15.75" customHeight="1" x14ac:dyDescent="0.25"/>
    <row r="224" spans="1:1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3:D3"/>
    <mergeCell ref="A5:A6"/>
    <mergeCell ref="B5:B6"/>
    <mergeCell ref="C5:C6"/>
    <mergeCell ref="D5:D6"/>
  </mergeCells>
  <phoneticPr fontId="35" type="noConversion"/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CC00"/>
  </sheetPr>
  <dimension ref="A1:AB1000"/>
  <sheetViews>
    <sheetView workbookViewId="0">
      <selection activeCell="F54" sqref="F54"/>
    </sheetView>
  </sheetViews>
  <sheetFormatPr defaultColWidth="12.54296875" defaultRowHeight="15" customHeight="1" x14ac:dyDescent="0.25"/>
  <cols>
    <col min="1" max="1" width="34" customWidth="1"/>
    <col min="2" max="2" width="8.36328125" customWidth="1"/>
    <col min="3" max="3" width="18.6328125" customWidth="1"/>
    <col min="4" max="4" width="10.08984375" bestFit="1" customWidth="1"/>
    <col min="5" max="5" width="10.6328125" customWidth="1"/>
    <col min="6" max="6" width="10.453125" customWidth="1"/>
    <col min="7" max="7" width="10.6328125" customWidth="1"/>
    <col min="8" max="10" width="9.453125" customWidth="1"/>
    <col min="11" max="28" width="7" customWidth="1"/>
  </cols>
  <sheetData>
    <row r="1" spans="1:28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26" t="s">
        <v>215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 x14ac:dyDescent="0.25">
      <c r="A3" s="195" t="s">
        <v>327</v>
      </c>
      <c r="B3" s="196"/>
      <c r="C3" s="196"/>
      <c r="D3" s="196"/>
      <c r="E3" s="196"/>
      <c r="F3" s="196"/>
      <c r="G3" s="196"/>
      <c r="H3" s="196"/>
      <c r="I3" s="196"/>
      <c r="J3" s="19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8.5" customHeight="1" x14ac:dyDescent="0.25">
      <c r="A5" s="197" t="s">
        <v>37</v>
      </c>
      <c r="B5" s="188" t="s">
        <v>56</v>
      </c>
      <c r="C5" s="192" t="s">
        <v>267</v>
      </c>
      <c r="D5" s="192" t="s">
        <v>553</v>
      </c>
      <c r="E5" s="201" t="s">
        <v>153</v>
      </c>
      <c r="F5" s="234"/>
      <c r="G5" s="234"/>
      <c r="H5" s="234"/>
      <c r="I5" s="234"/>
      <c r="J5" s="23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9.5" customHeight="1" x14ac:dyDescent="0.25">
      <c r="A6" s="194"/>
      <c r="B6" s="194"/>
      <c r="C6" s="190"/>
      <c r="D6" s="19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25">
      <c r="A7" s="8" t="s">
        <v>57</v>
      </c>
      <c r="B7" s="104" t="s">
        <v>164</v>
      </c>
      <c r="C7" s="120"/>
      <c r="D7" s="137">
        <f>'В1.1.1'!C7</f>
        <v>1425333.9</v>
      </c>
      <c r="E7" s="151">
        <f>'В1.1.1'!D7</f>
        <v>475111.3</v>
      </c>
      <c r="F7" s="151">
        <f>'В1.1.1'!E7</f>
        <v>364441.3</v>
      </c>
      <c r="G7" s="151">
        <f>'В1.1.1'!F7</f>
        <v>585781.30000000005</v>
      </c>
      <c r="H7" s="75">
        <f>'В1.1.1'!G7</f>
        <v>0</v>
      </c>
      <c r="I7" s="75">
        <f>'В1.1.1'!H7</f>
        <v>0</v>
      </c>
      <c r="J7" s="76">
        <f>'В1.1.1'!I7</f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25">
      <c r="A8" s="100" t="s">
        <v>58</v>
      </c>
      <c r="B8" s="145" t="s">
        <v>266</v>
      </c>
      <c r="C8" s="120"/>
      <c r="D8" s="139">
        <f t="shared" ref="D8:J8" si="0">SUM(D9:D10)</f>
        <v>1425333.9</v>
      </c>
      <c r="E8" s="50">
        <f t="shared" si="0"/>
        <v>475111.3</v>
      </c>
      <c r="F8" s="50">
        <f t="shared" si="0"/>
        <v>364441.3</v>
      </c>
      <c r="G8" s="50">
        <f t="shared" si="0"/>
        <v>585781.30000000005</v>
      </c>
      <c r="H8" s="76">
        <f t="shared" si="0"/>
        <v>0</v>
      </c>
      <c r="I8" s="76">
        <f t="shared" si="0"/>
        <v>0</v>
      </c>
      <c r="J8" s="76">
        <f t="shared" si="0"/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8.75" customHeight="1" x14ac:dyDescent="0.35">
      <c r="A9" s="96" t="s">
        <v>59</v>
      </c>
      <c r="B9" s="145" t="s">
        <v>303</v>
      </c>
      <c r="C9" s="141"/>
      <c r="D9" s="132">
        <f>SUM(E9:J9)</f>
        <v>88000</v>
      </c>
      <c r="E9" s="42">
        <f>E7-E10</f>
        <v>28000</v>
      </c>
      <c r="F9" s="42">
        <f>F7-F10</f>
        <v>25000</v>
      </c>
      <c r="G9" s="42">
        <f>G7-G10</f>
        <v>35000</v>
      </c>
      <c r="H9" s="42">
        <v>0</v>
      </c>
      <c r="I9" s="42">
        <v>0</v>
      </c>
      <c r="J9" s="42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.75" customHeight="1" x14ac:dyDescent="0.35">
      <c r="A10" s="96" t="s">
        <v>60</v>
      </c>
      <c r="B10" s="145" t="s">
        <v>304</v>
      </c>
      <c r="C10" s="141"/>
      <c r="D10" s="132">
        <f>SUM(E10:J10)</f>
        <v>1337333.8999999999</v>
      </c>
      <c r="E10" s="42">
        <f>E7-28000</f>
        <v>447111.3</v>
      </c>
      <c r="F10" s="42">
        <f>F7-25000</f>
        <v>339441.3</v>
      </c>
      <c r="G10" s="42">
        <f>G7-35000</f>
        <v>550781.30000000005</v>
      </c>
      <c r="H10" s="42">
        <v>0</v>
      </c>
      <c r="I10" s="42">
        <v>0</v>
      </c>
      <c r="J10" s="42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1.5" customHeight="1" x14ac:dyDescent="0.35">
      <c r="A11" s="96" t="s">
        <v>61</v>
      </c>
      <c r="B11" s="145" t="s">
        <v>305</v>
      </c>
      <c r="C11" s="120"/>
      <c r="D11" s="140">
        <f t="shared" ref="D11:J11" si="1">D9/D8</f>
        <v>6.173991932697314E-2</v>
      </c>
      <c r="E11" s="53">
        <f>E9/E8</f>
        <v>5.8933559357565272E-2</v>
      </c>
      <c r="F11" s="53">
        <f t="shared" si="1"/>
        <v>6.8598152843818747E-2</v>
      </c>
      <c r="G11" s="53">
        <f t="shared" si="1"/>
        <v>5.9749261371095319E-2</v>
      </c>
      <c r="H11" s="53" t="e">
        <f t="shared" si="1"/>
        <v>#DIV/0!</v>
      </c>
      <c r="I11" s="53" t="e">
        <f>I9/I8</f>
        <v>#DIV/0!</v>
      </c>
      <c r="J11" s="53" t="e">
        <f t="shared" si="1"/>
        <v>#DIV/0!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1.5" customHeight="1" x14ac:dyDescent="0.35">
      <c r="A12" s="96" t="s">
        <v>62</v>
      </c>
      <c r="B12" s="145" t="s">
        <v>306</v>
      </c>
      <c r="C12" s="120"/>
      <c r="D12" s="140">
        <f t="shared" ref="D12:J12" si="2">D10/D8</f>
        <v>0.93826008067302691</v>
      </c>
      <c r="E12" s="53">
        <f t="shared" si="2"/>
        <v>0.94106644064243472</v>
      </c>
      <c r="F12" s="53">
        <f t="shared" si="2"/>
        <v>0.93140184715618124</v>
      </c>
      <c r="G12" s="53">
        <f t="shared" si="2"/>
        <v>0.94025073862890474</v>
      </c>
      <c r="H12" s="53" t="e">
        <f t="shared" si="2"/>
        <v>#DIV/0!</v>
      </c>
      <c r="I12" s="53" t="e">
        <f>I10/I8</f>
        <v>#DIV/0!</v>
      </c>
      <c r="J12" s="53" t="e">
        <f t="shared" si="2"/>
        <v>#DIV/0!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:J3"/>
    <mergeCell ref="A5:A6"/>
    <mergeCell ref="B5:B6"/>
    <mergeCell ref="D5:D6"/>
    <mergeCell ref="E5:J5"/>
    <mergeCell ref="C5:C6"/>
  </mergeCells>
  <phoneticPr fontId="35" type="noConversion"/>
  <pageMargins left="0.7" right="0.7" top="0.75" bottom="0.75" header="0" footer="0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Equation.3" shapeId="13314" r:id="rId4">
          <objectPr defaultSize="0" autoPict="0" r:id="rId5">
            <anchor moveWithCells="1" sizeWithCells="1">
              <from>
                <xdr:col>2</xdr:col>
                <xdr:colOff>146050</xdr:colOff>
                <xdr:row>10</xdr:row>
                <xdr:rowOff>69850</xdr:rowOff>
              </from>
              <to>
                <xdr:col>2</xdr:col>
                <xdr:colOff>1187450</xdr:colOff>
                <xdr:row>10</xdr:row>
                <xdr:rowOff>298450</xdr:rowOff>
              </to>
            </anchor>
          </objectPr>
        </oleObject>
      </mc:Choice>
      <mc:Fallback>
        <oleObject progId="Equation.3" shapeId="13314" r:id="rId4"/>
      </mc:Fallback>
    </mc:AlternateContent>
    <mc:AlternateContent xmlns:mc="http://schemas.openxmlformats.org/markup-compatibility/2006">
      <mc:Choice Requires="x14">
        <oleObject progId="Equation.3" shapeId="13315" r:id="rId6">
          <objectPr defaultSize="0" autoPict="0" r:id="rId7">
            <anchor moveWithCells="1" sizeWithCells="1">
              <from>
                <xdr:col>2</xdr:col>
                <xdr:colOff>196850</xdr:colOff>
                <xdr:row>11</xdr:row>
                <xdr:rowOff>44450</xdr:rowOff>
              </from>
              <to>
                <xdr:col>2</xdr:col>
                <xdr:colOff>1143000</xdr:colOff>
                <xdr:row>11</xdr:row>
                <xdr:rowOff>279400</xdr:rowOff>
              </to>
            </anchor>
          </objectPr>
        </oleObject>
      </mc:Choice>
      <mc:Fallback>
        <oleObject progId="Equation.3" shapeId="13315" r:id="rId6"/>
      </mc:Fallback>
    </mc:AlternateContent>
    <mc:AlternateContent xmlns:mc="http://schemas.openxmlformats.org/markup-compatibility/2006">
      <mc:Choice Requires="x14">
        <oleObject progId="Equation.3" shapeId="13316" r:id="rId8">
          <objectPr defaultSize="0" autoPict="0" r:id="rId9">
            <anchor moveWithCells="1" sizeWithCells="1">
              <from>
                <xdr:col>2</xdr:col>
                <xdr:colOff>63500</xdr:colOff>
                <xdr:row>7</xdr:row>
                <xdr:rowOff>69850</xdr:rowOff>
              </from>
              <to>
                <xdr:col>2</xdr:col>
                <xdr:colOff>1257300</xdr:colOff>
                <xdr:row>7</xdr:row>
                <xdr:rowOff>311150</xdr:rowOff>
              </to>
            </anchor>
          </objectPr>
        </oleObject>
      </mc:Choice>
      <mc:Fallback>
        <oleObject progId="Equation.3" shapeId="13316" r:id="rId8"/>
      </mc:Fallback>
    </mc:AlternateContent>
    <mc:AlternateContent xmlns:mc="http://schemas.openxmlformats.org/markup-compatibility/2006">
      <mc:Choice Requires="x14">
        <oleObject progId="Equation.3" shapeId="13317" r:id="rId10">
          <objectPr defaultSize="0" autoPict="0" r:id="rId11">
            <anchor moveWithCells="1" sizeWithCells="1">
              <from>
                <xdr:col>2</xdr:col>
                <xdr:colOff>317500</xdr:colOff>
                <xdr:row>6</xdr:row>
                <xdr:rowOff>107950</xdr:rowOff>
              </from>
              <to>
                <xdr:col>2</xdr:col>
                <xdr:colOff>1016000</xdr:colOff>
                <xdr:row>6</xdr:row>
                <xdr:rowOff>342900</xdr:rowOff>
              </to>
            </anchor>
          </objectPr>
        </oleObject>
      </mc:Choice>
      <mc:Fallback>
        <oleObject progId="Equation.3" shapeId="13317" r:id="rId10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  <outlinePr summaryRight="0"/>
  </sheetPr>
  <dimension ref="A1:AK979"/>
  <sheetViews>
    <sheetView workbookViewId="0">
      <selection activeCell="Q25" sqref="Q25"/>
    </sheetView>
  </sheetViews>
  <sheetFormatPr defaultColWidth="12.54296875" defaultRowHeight="15" customHeight="1" outlineLevelCol="1" x14ac:dyDescent="0.25"/>
  <cols>
    <col min="1" max="1" width="35" bestFit="1" customWidth="1"/>
    <col min="2" max="2" width="15.54296875" bestFit="1" customWidth="1"/>
    <col min="3" max="3" width="14.08984375" bestFit="1" customWidth="1"/>
    <col min="4" max="4" width="12.90625" bestFit="1" customWidth="1"/>
    <col min="5" max="6" width="9.6328125" bestFit="1" customWidth="1" outlineLevel="1"/>
    <col min="7" max="7" width="12.81640625" customWidth="1" outlineLevel="1"/>
    <col min="8" max="8" width="11.6328125" customWidth="1" outlineLevel="1"/>
    <col min="9" max="16" width="12.90625" customWidth="1" outlineLevel="1"/>
    <col min="17" max="19" width="14.08984375" bestFit="1" customWidth="1"/>
    <col min="20" max="20" width="16.90625" bestFit="1" customWidth="1"/>
    <col min="21" max="21" width="9.6328125" customWidth="1"/>
    <col min="22" max="22" width="10" customWidth="1"/>
    <col min="23" max="23" width="10.54296875" customWidth="1"/>
    <col min="24" max="24" width="10.453125" customWidth="1"/>
    <col min="25" max="25" width="10.54296875" customWidth="1"/>
    <col min="26" max="26" width="11.6328125" customWidth="1"/>
    <col min="27" max="27" width="12.36328125" customWidth="1"/>
    <col min="28" max="37" width="7" customWidth="1"/>
    <col min="38" max="38" width="11" customWidth="1"/>
  </cols>
  <sheetData>
    <row r="1" spans="1:37" ht="15.75" customHeight="1" x14ac:dyDescent="0.25">
      <c r="A1" s="1"/>
      <c r="B1" s="1"/>
      <c r="C1" s="1"/>
      <c r="D1" s="1"/>
      <c r="E1" s="1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6" t="s">
        <v>216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6.5" customHeight="1" x14ac:dyDescent="0.25">
      <c r="A3" s="195" t="s">
        <v>155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8.5" customHeight="1" x14ac:dyDescent="0.25">
      <c r="A5" s="197" t="s">
        <v>37</v>
      </c>
      <c r="B5" s="188" t="s">
        <v>63</v>
      </c>
      <c r="C5" s="192" t="s">
        <v>553</v>
      </c>
      <c r="D5" s="199" t="s">
        <v>64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7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28.5" customHeight="1" x14ac:dyDescent="0.25">
      <c r="A6" s="198"/>
      <c r="B6" s="189"/>
      <c r="C6" s="193"/>
      <c r="D6" s="199" t="s">
        <v>141</v>
      </c>
      <c r="E6" s="206" t="s">
        <v>31</v>
      </c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9"/>
      <c r="Q6" s="191">
        <v>2</v>
      </c>
      <c r="R6" s="191">
        <v>3</v>
      </c>
      <c r="S6" s="191">
        <v>4</v>
      </c>
      <c r="T6" s="191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9.5" customHeight="1" x14ac:dyDescent="0.25">
      <c r="A7" s="194"/>
      <c r="B7" s="190"/>
      <c r="C7" s="194"/>
      <c r="D7" s="200"/>
      <c r="E7" s="85" t="s">
        <v>39</v>
      </c>
      <c r="F7" s="85" t="s">
        <v>40</v>
      </c>
      <c r="G7" s="85" t="s">
        <v>41</v>
      </c>
      <c r="H7" s="86" t="s">
        <v>42</v>
      </c>
      <c r="I7" s="86" t="s">
        <v>43</v>
      </c>
      <c r="J7" s="86" t="s">
        <v>44</v>
      </c>
      <c r="K7" s="86" t="s">
        <v>45</v>
      </c>
      <c r="L7" s="86" t="s">
        <v>46</v>
      </c>
      <c r="M7" s="86" t="s">
        <v>47</v>
      </c>
      <c r="N7" s="86" t="s">
        <v>48</v>
      </c>
      <c r="O7" s="86" t="s">
        <v>49</v>
      </c>
      <c r="P7" s="87" t="s">
        <v>50</v>
      </c>
      <c r="Q7" s="191"/>
      <c r="R7" s="191"/>
      <c r="S7" s="191"/>
      <c r="T7" s="19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47.25" customHeight="1" x14ac:dyDescent="0.25">
      <c r="A8" s="101" t="s">
        <v>65</v>
      </c>
      <c r="B8" s="104" t="s">
        <v>294</v>
      </c>
      <c r="C8" s="132">
        <f>D8+Q8+R8+S8+T8</f>
        <v>0</v>
      </c>
      <c r="D8" s="41">
        <f>SUM(E8:P8)</f>
        <v>0</v>
      </c>
      <c r="E8" s="78">
        <v>0</v>
      </c>
      <c r="F8" s="78">
        <v>0</v>
      </c>
      <c r="G8" s="78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46.5" x14ac:dyDescent="0.25">
      <c r="A9" s="101" t="s">
        <v>66</v>
      </c>
      <c r="B9" s="104" t="s">
        <v>295</v>
      </c>
      <c r="C9" s="132">
        <f>D9+Q9+R9+S9+T9</f>
        <v>7188660.1875</v>
      </c>
      <c r="D9" s="43">
        <f>SUM(E9:P9)</f>
        <v>1960543.6875</v>
      </c>
      <c r="E9" s="43">
        <f>'В1.1.1'!D10+'В1.1.1'!D17</f>
        <v>0</v>
      </c>
      <c r="F9" s="43">
        <f>'В1.1.1'!E10+'В1.1.1'!E17</f>
        <v>0</v>
      </c>
      <c r="G9" s="43">
        <f>'В1.1.1'!F10+'В1.1.1'!F17</f>
        <v>0</v>
      </c>
      <c r="H9" s="43">
        <f>'В1.2.1'!H11+'В1.2.1'!H18+'В1.2.2'!H11*'В1.2.2'!H16+'В1.2.2'!H19*'В1.2.2'!H22</f>
        <v>217838.1875</v>
      </c>
      <c r="I9" s="43">
        <f>'В1.2.1'!I11+'В1.2.1'!I18+'В1.2.2'!I11*'В1.2.2'!I16+'В1.2.2'!I19*'В1.2.2'!I22</f>
        <v>217838.1875</v>
      </c>
      <c r="J9" s="43">
        <f>'В1.2.1'!J11+'В1.2.1'!J18+'В1.2.2'!J11*'В1.2.2'!J16+'В1.2.2'!J19*'В1.2.2'!J22</f>
        <v>217838.1875</v>
      </c>
      <c r="K9" s="43">
        <f>'В1.2.1'!K11+'В1.2.1'!K18+'В1.2.2'!K11*'В1.2.2'!K16+'В1.2.2'!K19*'В1.2.2'!K22</f>
        <v>217838.1875</v>
      </c>
      <c r="L9" s="43">
        <f>'В1.2.1'!L11+'В1.2.1'!L18+'В1.2.2'!L11*'В1.2.2'!L16+'В1.2.2'!L19*'В1.2.2'!L22</f>
        <v>217838.1875</v>
      </c>
      <c r="M9" s="43">
        <f>'В1.2.1'!M11+'В1.2.1'!M18+'В1.2.2'!M11*'В1.2.2'!M16+'В1.2.2'!M19*'В1.2.2'!M22</f>
        <v>217838.1875</v>
      </c>
      <c r="N9" s="43">
        <f>'В1.2.1'!N11+'В1.2.1'!N18+'В1.2.2'!N11*'В1.2.2'!N16+'В1.2.2'!N19*'В1.2.2'!N22</f>
        <v>217838.1875</v>
      </c>
      <c r="O9" s="43">
        <f>'В1.2.1'!O11+'В1.2.1'!O18+'В1.2.2'!O11*'В1.2.2'!O16+'В1.2.2'!O19*'В1.2.2'!O22</f>
        <v>217838.1875</v>
      </c>
      <c r="P9" s="43">
        <f>'В1.2.1'!P11+'В1.2.1'!P18+'В1.2.2'!P11*'В1.2.2'!P16+'В1.2.2'!P19*'В1.2.2'!P22</f>
        <v>217838.1875</v>
      </c>
      <c r="Q9" s="43">
        <f>'В1.2.1'!Q11+'В1.2.1'!Q18+'В1.2.2'!Q11*'В1.2.2'!Q16+'В1.2.2'!Q19*'В1.2.2'!Q22</f>
        <v>2614058.2500000005</v>
      </c>
      <c r="R9" s="43">
        <f>'В1.2.1'!R11+'В1.2.1'!R18+'В1.2.2'!R11*'В1.2.2'!R16+'В1.2.2'!R19*'В1.2.2'!R22</f>
        <v>2614058.2500000005</v>
      </c>
      <c r="S9" s="43">
        <f>'В1.2.1'!S11+'В1.2.1'!S18+'В1.2.2'!S11*'В1.2.2'!S16+'В1.2.2'!S19*'В1.2.2'!S22</f>
        <v>0</v>
      </c>
      <c r="T9" s="43">
        <f>'В1.2.1'!T11+'В1.2.1'!T18+'В1.2.2'!T11*'В1.2.2'!T16+'В1.2.2'!T19*'В1.2.2'!T22</f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62" x14ac:dyDescent="0.25">
      <c r="A10" s="101" t="s">
        <v>67</v>
      </c>
      <c r="B10" s="104" t="s">
        <v>296</v>
      </c>
      <c r="C10" s="142">
        <f>D10+Q10+R10+S10+T10</f>
        <v>1425333.9</v>
      </c>
      <c r="D10" s="41">
        <f>SUM(E10:P10)</f>
        <v>1425333.9</v>
      </c>
      <c r="E10" s="41">
        <f>'В1.1.1'!D7-'В1.1.1'!D10-'В1.1.1'!D17</f>
        <v>475111.3</v>
      </c>
      <c r="F10" s="41">
        <f>'В1.1.1'!E7-'В1.1.1'!E10-'В1.1.1'!E17</f>
        <v>364441.3</v>
      </c>
      <c r="G10" s="41">
        <f>'В1.1.1'!F7-'В1.1.1'!F10-'В1.1.1'!F17</f>
        <v>585781.30000000005</v>
      </c>
      <c r="H10" s="41">
        <f t="shared" ref="H10:P10" si="0">H26</f>
        <v>0</v>
      </c>
      <c r="I10" s="41">
        <f t="shared" si="0"/>
        <v>0</v>
      </c>
      <c r="J10" s="41">
        <f t="shared" si="0"/>
        <v>0</v>
      </c>
      <c r="K10" s="41">
        <f t="shared" si="0"/>
        <v>0</v>
      </c>
      <c r="L10" s="41">
        <f t="shared" si="0"/>
        <v>0</v>
      </c>
      <c r="M10" s="41">
        <f t="shared" si="0"/>
        <v>0</v>
      </c>
      <c r="N10" s="41">
        <f t="shared" si="0"/>
        <v>0</v>
      </c>
      <c r="O10" s="41">
        <f t="shared" si="0"/>
        <v>0</v>
      </c>
      <c r="P10" s="41">
        <f t="shared" si="0"/>
        <v>0</v>
      </c>
      <c r="Q10" s="41">
        <v>0</v>
      </c>
      <c r="R10" s="41">
        <v>0</v>
      </c>
      <c r="S10" s="41">
        <v>0</v>
      </c>
      <c r="T10" s="41"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63" customHeight="1" x14ac:dyDescent="0.25">
      <c r="A11" s="101" t="s">
        <v>144</v>
      </c>
      <c r="B11" s="104" t="s">
        <v>297</v>
      </c>
      <c r="C11" s="142">
        <f>D11+Q11+R11+S11+T11</f>
        <v>1646553.9824999999</v>
      </c>
      <c r="D11" s="41">
        <f>SUM(E11:P11)</f>
        <v>452708.72250000015</v>
      </c>
      <c r="E11" s="41">
        <f>E27</f>
        <v>0</v>
      </c>
      <c r="F11" s="41">
        <f>F27</f>
        <v>0</v>
      </c>
      <c r="G11" s="41">
        <f>G27</f>
        <v>0</v>
      </c>
      <c r="H11" s="41">
        <f>'В1.3.1'!H8-'В1.2.1'!H11-'В1.2.1'!H18-'В1.2.2'!H11*'В1.2.2'!H16-'В1.2.2'!H19*'В1.2.2'!H22</f>
        <v>48071.30250000002</v>
      </c>
      <c r="I11" s="41">
        <f>'В1.3.1'!I8-'В1.2.1'!I11-'В1.2.1'!I18-'В1.2.2'!I11*'В1.2.2'!I16-'В1.2.2'!I19*'В1.2.2'!I22</f>
        <v>48071.30250000002</v>
      </c>
      <c r="J11" s="41">
        <f>'В1.3.1'!J8-'В1.2.1'!J11-'В1.2.1'!J18-'В1.2.2'!J11*'В1.2.2'!J16-'В1.2.2'!J19*'В1.2.2'!J22</f>
        <v>50838.05250000002</v>
      </c>
      <c r="K11" s="41">
        <f>'В1.3.1'!K8-'В1.2.1'!K11-'В1.2.1'!K18-'В1.2.2'!K11*'В1.2.2'!K16-'В1.2.2'!K19*'В1.2.2'!K22</f>
        <v>48071.30250000002</v>
      </c>
      <c r="L11" s="41">
        <f>'В1.3.1'!L8-'В1.2.1'!L11-'В1.2.1'!L18-'В1.2.2'!L11*'В1.2.2'!L16-'В1.2.2'!L19*'В1.2.2'!L22</f>
        <v>48071.30250000002</v>
      </c>
      <c r="M11" s="41">
        <f>'В1.3.1'!M8-'В1.2.1'!M11-'В1.2.1'!M18-'В1.2.2'!M11*'В1.2.2'!M16-'В1.2.2'!M19*'В1.2.2'!M22</f>
        <v>50838.05250000002</v>
      </c>
      <c r="N11" s="41">
        <f>'В1.3.1'!N8-'В1.2.1'!N11-'В1.2.1'!N18-'В1.2.2'!N11*'В1.2.2'!N16-'В1.2.2'!N19*'В1.2.2'!N22</f>
        <v>48071.30250000002</v>
      </c>
      <c r="O11" s="41">
        <f>'В1.3.1'!O8-'В1.2.1'!O11-'В1.2.1'!O18-'В1.2.2'!O11*'В1.2.2'!O16-'В1.2.2'!O19*'В1.2.2'!O22</f>
        <v>48071.30250000002</v>
      </c>
      <c r="P11" s="41">
        <f>'В1.3.1'!P8-'В1.2.1'!P11-'В1.2.1'!P18-'В1.2.2'!P11*'В1.2.2'!P16-'В1.2.2'!P19*'В1.2.2'!P22</f>
        <v>62604.80250000002</v>
      </c>
      <c r="Q11" s="41">
        <f>'В1.3.1'!Q8-'В1.2.1'!Q11-'В1.2.1'!Q18-'В1.2.2'!Q11*'В1.2.2'!Q16-'В1.2.2'!Q19*'В1.2.2'!Q22</f>
        <v>596922.62999999989</v>
      </c>
      <c r="R11" s="41">
        <f>'В1.3.1'!R8-'В1.2.1'!R11-'В1.2.1'!R18-'В1.2.2'!R11*'В1.2.2'!R16-'В1.2.2'!R19*'В1.2.2'!R22</f>
        <v>596922.62999999989</v>
      </c>
      <c r="S11" s="41">
        <f>'В1.3.1'!S8-'В1.2.1'!S11-'В1.2.1'!S18-'В1.2.2'!S11*'В1.2.2'!S16-'В1.2.2'!S19*'В1.2.2'!S22</f>
        <v>0</v>
      </c>
      <c r="T11" s="41">
        <f>'В1.3.1'!T8-'В1.2.1'!T11-'В1.2.1'!T18-'В1.2.2'!T11*'В1.2.2'!T16-'В1.2.2'!T19*'В1.2.2'!T22</f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8.5" customHeight="1" x14ac:dyDescent="0.3">
      <c r="A12" s="105" t="s">
        <v>68</v>
      </c>
      <c r="B12" s="104" t="s">
        <v>274</v>
      </c>
      <c r="C12" s="137">
        <f>C8+C9-C10-C11</f>
        <v>4116772.3049999997</v>
      </c>
      <c r="D12" s="39">
        <f>D8+D9-D10-D11</f>
        <v>82501.064999999944</v>
      </c>
      <c r="E12" s="75">
        <f t="shared" ref="E12:P12" si="1">E8+E9-E10-E11</f>
        <v>-475111.3</v>
      </c>
      <c r="F12" s="75">
        <f t="shared" si="1"/>
        <v>-364441.3</v>
      </c>
      <c r="G12" s="75">
        <f t="shared" si="1"/>
        <v>-585781.30000000005</v>
      </c>
      <c r="H12" s="75">
        <f t="shared" si="1"/>
        <v>169766.88499999998</v>
      </c>
      <c r="I12" s="75">
        <f t="shared" si="1"/>
        <v>169766.88499999998</v>
      </c>
      <c r="J12" s="75">
        <f t="shared" si="1"/>
        <v>167000.13499999998</v>
      </c>
      <c r="K12" s="75">
        <f t="shared" si="1"/>
        <v>169766.88499999998</v>
      </c>
      <c r="L12" s="75">
        <f t="shared" si="1"/>
        <v>169766.88499999998</v>
      </c>
      <c r="M12" s="75">
        <f t="shared" si="1"/>
        <v>167000.13499999998</v>
      </c>
      <c r="N12" s="75">
        <f t="shared" si="1"/>
        <v>169766.88499999998</v>
      </c>
      <c r="O12" s="75">
        <f t="shared" si="1"/>
        <v>169766.88499999998</v>
      </c>
      <c r="P12" s="75">
        <f t="shared" si="1"/>
        <v>155233.38499999998</v>
      </c>
      <c r="Q12" s="39">
        <f>Q8+Q9-Q10-Q11</f>
        <v>2017135.6200000006</v>
      </c>
      <c r="R12" s="39">
        <f>R8+R9-R10-R11</f>
        <v>2017135.6200000006</v>
      </c>
      <c r="S12" s="39">
        <f>S8+S9-S10-S11</f>
        <v>0</v>
      </c>
      <c r="T12" s="39">
        <f>T8+T9-T10-T11</f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33" customHeight="1" x14ac:dyDescent="0.3">
      <c r="A13" s="105" t="s">
        <v>69</v>
      </c>
      <c r="B13" s="104" t="s">
        <v>302</v>
      </c>
      <c r="C13" s="137"/>
      <c r="D13" s="39">
        <f>D12</f>
        <v>82501.064999999944</v>
      </c>
      <c r="E13" s="39">
        <f>E12</f>
        <v>-475111.3</v>
      </c>
      <c r="F13" s="39">
        <f t="shared" ref="F13:P13" si="2">E13+F12</f>
        <v>-839552.6</v>
      </c>
      <c r="G13" s="39">
        <f t="shared" si="2"/>
        <v>-1425333.9</v>
      </c>
      <c r="H13" s="39">
        <f t="shared" si="2"/>
        <v>-1255567.0149999999</v>
      </c>
      <c r="I13" s="39">
        <f t="shared" si="2"/>
        <v>-1085800.1299999999</v>
      </c>
      <c r="J13" s="39">
        <f t="shared" si="2"/>
        <v>-918799.99499999988</v>
      </c>
      <c r="K13" s="39">
        <f t="shared" si="2"/>
        <v>-749033.10999999987</v>
      </c>
      <c r="L13" s="39">
        <f t="shared" si="2"/>
        <v>-579266.22499999986</v>
      </c>
      <c r="M13" s="39">
        <f t="shared" si="2"/>
        <v>-412266.08999999985</v>
      </c>
      <c r="N13" s="39">
        <f t="shared" si="2"/>
        <v>-242499.20499999987</v>
      </c>
      <c r="O13" s="39">
        <f t="shared" si="2"/>
        <v>-72732.319999999891</v>
      </c>
      <c r="P13" s="39">
        <f t="shared" si="2"/>
        <v>82501.06500000009</v>
      </c>
      <c r="Q13" s="39">
        <f>Q12+P13</f>
        <v>2099636.6850000005</v>
      </c>
      <c r="R13" s="39">
        <f>R12+Q13</f>
        <v>4116772.3050000011</v>
      </c>
      <c r="S13" s="39">
        <f>S12+R13</f>
        <v>4116772.3050000011</v>
      </c>
      <c r="T13" s="39">
        <f>T12+S13</f>
        <v>4116772.3050000011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75" customHeight="1" x14ac:dyDescent="0.25">
      <c r="A17" s="1"/>
      <c r="B17" s="1" t="s">
        <v>128</v>
      </c>
      <c r="C17" s="92">
        <f>C9+C10+C11-C25-C26-C27</f>
        <v>0</v>
      </c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6" t="s">
        <v>217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2.75" customHeight="1" x14ac:dyDescent="0.25">
      <c r="A18" s="1"/>
      <c r="B18" s="1" t="s">
        <v>128</v>
      </c>
      <c r="C18" s="92">
        <f>C9-C25</f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6.5" customHeight="1" x14ac:dyDescent="0.25">
      <c r="A19" s="195" t="s">
        <v>156</v>
      </c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customHeight="1" x14ac:dyDescent="0.25">
      <c r="A21" s="197" t="s">
        <v>37</v>
      </c>
      <c r="B21" s="188" t="s">
        <v>70</v>
      </c>
      <c r="C21" s="192" t="s">
        <v>553</v>
      </c>
      <c r="D21" s="201" t="s">
        <v>64</v>
      </c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3"/>
      <c r="R21" s="203"/>
      <c r="S21" s="203"/>
      <c r="T21" s="204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7.25" customHeight="1" x14ac:dyDescent="0.25">
      <c r="A22" s="198"/>
      <c r="B22" s="189"/>
      <c r="C22" s="193"/>
      <c r="D22" s="199" t="s">
        <v>141</v>
      </c>
      <c r="E22" s="205" t="s">
        <v>31</v>
      </c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6"/>
      <c r="Q22" s="191">
        <v>2</v>
      </c>
      <c r="R22" s="191">
        <v>3</v>
      </c>
      <c r="S22" s="191">
        <v>4</v>
      </c>
      <c r="T22" s="191">
        <v>5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2.5" customHeight="1" x14ac:dyDescent="0.25">
      <c r="A23" s="194"/>
      <c r="B23" s="194"/>
      <c r="C23" s="194"/>
      <c r="D23" s="200"/>
      <c r="E23" s="90" t="s">
        <v>39</v>
      </c>
      <c r="F23" s="90" t="s">
        <v>40</v>
      </c>
      <c r="G23" s="90" t="s">
        <v>41</v>
      </c>
      <c r="H23" s="90" t="s">
        <v>42</v>
      </c>
      <c r="I23" s="90" t="s">
        <v>43</v>
      </c>
      <c r="J23" s="90" t="s">
        <v>44</v>
      </c>
      <c r="K23" s="90" t="s">
        <v>45</v>
      </c>
      <c r="L23" s="90" t="s">
        <v>46</v>
      </c>
      <c r="M23" s="90" t="s">
        <v>47</v>
      </c>
      <c r="N23" s="90" t="s">
        <v>48</v>
      </c>
      <c r="O23" s="90" t="s">
        <v>49</v>
      </c>
      <c r="P23" s="91" t="s">
        <v>50</v>
      </c>
      <c r="Q23" s="191"/>
      <c r="R23" s="191"/>
      <c r="S23" s="191"/>
      <c r="T23" s="19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47.25" customHeight="1" x14ac:dyDescent="0.25">
      <c r="A24" s="10" t="s">
        <v>71</v>
      </c>
      <c r="B24" s="104" t="s">
        <v>294</v>
      </c>
      <c r="C24" s="41">
        <f>D24+Q24+R24+S24+T24</f>
        <v>0</v>
      </c>
      <c r="D24" s="43">
        <f t="shared" ref="D24:D32" si="3">SUM(E24:P24)</f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47.25" customHeight="1" x14ac:dyDescent="0.25">
      <c r="A25" s="10" t="s">
        <v>66</v>
      </c>
      <c r="B25" s="104" t="s">
        <v>295</v>
      </c>
      <c r="C25" s="41">
        <f>D25+Q25+R25+S25+T25</f>
        <v>7188660.1875</v>
      </c>
      <c r="D25" s="43">
        <f t="shared" si="3"/>
        <v>1960543.6875</v>
      </c>
      <c r="E25" s="43">
        <f>'В1.1.1'!D10+'В1.1.1'!D17</f>
        <v>0</v>
      </c>
      <c r="F25" s="43">
        <f>'В1.1.1'!E10+'В1.1.1'!E17</f>
        <v>0</v>
      </c>
      <c r="G25" s="43">
        <f>'В1.1.1'!F10+'В1.1.1'!F17</f>
        <v>0</v>
      </c>
      <c r="H25" s="43">
        <f>'В1.2.1'!H11+'В1.2.1'!H18+'В1.2.2'!H11*'В1.2.2'!H16+'В1.2.2'!H19*'В1.2.2'!H22</f>
        <v>217838.1875</v>
      </c>
      <c r="I25" s="43">
        <f>'В1.2.1'!I11+'В1.2.1'!I18+'В1.2.2'!I11*'В1.2.2'!I16+'В1.2.2'!I19*'В1.2.2'!I22</f>
        <v>217838.1875</v>
      </c>
      <c r="J25" s="43">
        <f>'В1.2.1'!J11+'В1.2.1'!J18+'В1.2.2'!J11*'В1.2.2'!J16+'В1.2.2'!J19*'В1.2.2'!J22</f>
        <v>217838.1875</v>
      </c>
      <c r="K25" s="43">
        <f>'В1.2.1'!K11+'В1.2.1'!K18+'В1.2.2'!K11*'В1.2.2'!K16+'В1.2.2'!K19*'В1.2.2'!K22</f>
        <v>217838.1875</v>
      </c>
      <c r="L25" s="43">
        <f>'В1.2.1'!L11+'В1.2.1'!L18+'В1.2.2'!L11*'В1.2.2'!L16+'В1.2.2'!L19*'В1.2.2'!L22</f>
        <v>217838.1875</v>
      </c>
      <c r="M25" s="43">
        <f>'В1.2.1'!M11+'В1.2.1'!M18+'В1.2.2'!M11*'В1.2.2'!M16+'В1.2.2'!M19*'В1.2.2'!M22</f>
        <v>217838.1875</v>
      </c>
      <c r="N25" s="43">
        <f>'В1.2.1'!N11+'В1.2.1'!N18+'В1.2.2'!N11*'В1.2.2'!N16+'В1.2.2'!N19*'В1.2.2'!N22</f>
        <v>217838.1875</v>
      </c>
      <c r="O25" s="43">
        <f>'В1.2.1'!O11+'В1.2.1'!O18+'В1.2.2'!O11*'В1.2.2'!O16+'В1.2.2'!O19*'В1.2.2'!O22</f>
        <v>217838.1875</v>
      </c>
      <c r="P25" s="43">
        <f>'В1.2.1'!P11+'В1.2.1'!P18+'В1.2.2'!P11*'В1.2.2'!P16+'В1.2.2'!P19*'В1.2.2'!P22</f>
        <v>217838.1875</v>
      </c>
      <c r="Q25" s="43">
        <f>'В1.2.1'!Q11+'В1.2.1'!Q18+'В1.2.2'!Q11*'В1.2.2'!Q16+'В1.2.2'!Q19*'В1.2.2'!Q22</f>
        <v>2614058.2500000005</v>
      </c>
      <c r="R25" s="43">
        <f>'В1.2.1'!R11+'В1.2.1'!R18+'В1.2.2'!R11*'В1.2.2'!R16+'В1.2.2'!R19*'В1.2.2'!R22</f>
        <v>2614058.2500000005</v>
      </c>
      <c r="S25" s="43">
        <f>'В1.2.1'!S11+'В1.2.1'!S18+'В1.2.2'!S11*'В1.2.2'!S16+'В1.2.2'!S19*'В1.2.2'!S22</f>
        <v>0</v>
      </c>
      <c r="T25" s="43">
        <f>'В1.2.1'!T11+'В1.2.1'!T18+'В1.2.2'!T11*'В1.2.2'!T16+'В1.2.2'!T19*'В1.2.2'!T22</f>
        <v>0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63" customHeight="1" x14ac:dyDescent="0.25">
      <c r="A26" s="10" t="s">
        <v>72</v>
      </c>
      <c r="B26" s="104" t="s">
        <v>296</v>
      </c>
      <c r="C26" s="41">
        <f>D26+Q26+R26+S26+T26</f>
        <v>1425333.9</v>
      </c>
      <c r="D26" s="41">
        <f t="shared" si="3"/>
        <v>1425333.9</v>
      </c>
      <c r="E26" s="41">
        <f>E10</f>
        <v>475111.3</v>
      </c>
      <c r="F26" s="41">
        <f>F10</f>
        <v>364441.3</v>
      </c>
      <c r="G26" s="41">
        <f>G10</f>
        <v>585781.30000000005</v>
      </c>
      <c r="H26" s="41">
        <f>'В1.1.1'!G7</f>
        <v>0</v>
      </c>
      <c r="I26" s="41">
        <f>'В1.1.1'!H7</f>
        <v>0</v>
      </c>
      <c r="J26" s="41">
        <f>'В1.1.1'!I7</f>
        <v>0</v>
      </c>
      <c r="K26" s="41">
        <f>'В1.1.1'!J7</f>
        <v>0</v>
      </c>
      <c r="L26" s="41">
        <f>'В1.1.1'!K7</f>
        <v>0</v>
      </c>
      <c r="M26" s="41">
        <f>'В1.1.1'!L7</f>
        <v>0</v>
      </c>
      <c r="N26" s="41">
        <f>'В1.1.1'!M7</f>
        <v>0</v>
      </c>
      <c r="O26" s="41">
        <f>'В1.1.1'!N7</f>
        <v>0</v>
      </c>
      <c r="P26" s="41">
        <f>'В1.1.1'!O7</f>
        <v>0</v>
      </c>
      <c r="Q26" s="41">
        <v>0</v>
      </c>
      <c r="R26" s="41">
        <v>0</v>
      </c>
      <c r="S26" s="41">
        <v>0</v>
      </c>
      <c r="T26" s="41">
        <v>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63" customHeight="1" x14ac:dyDescent="0.25">
      <c r="A27" s="10" t="s">
        <v>73</v>
      </c>
      <c r="B27" s="104" t="s">
        <v>297</v>
      </c>
      <c r="C27" s="41">
        <f>D27+Q27+R27+S27+T27</f>
        <v>1646553.9824999999</v>
      </c>
      <c r="D27" s="41">
        <f t="shared" si="3"/>
        <v>452708.72250000015</v>
      </c>
      <c r="E27" s="41">
        <f>'В1.2.1'!E8+'В1.2.2'!E8+'В1.2.3'!E8</f>
        <v>0</v>
      </c>
      <c r="F27" s="41">
        <f>'В1.2.1'!F8+'В1.2.2'!F8+'В1.2.3'!F8</f>
        <v>0</v>
      </c>
      <c r="G27" s="41">
        <f>'В1.2.1'!G8+'В1.2.2'!G8+'В1.2.3'!G8</f>
        <v>0</v>
      </c>
      <c r="H27" s="41">
        <f>H11</f>
        <v>48071.30250000002</v>
      </c>
      <c r="I27" s="41">
        <f t="shared" ref="I27:T27" si="4">I11</f>
        <v>48071.30250000002</v>
      </c>
      <c r="J27" s="41">
        <f t="shared" si="4"/>
        <v>50838.05250000002</v>
      </c>
      <c r="K27" s="41">
        <f t="shared" si="4"/>
        <v>48071.30250000002</v>
      </c>
      <c r="L27" s="41">
        <f t="shared" si="4"/>
        <v>48071.30250000002</v>
      </c>
      <c r="M27" s="41">
        <f t="shared" si="4"/>
        <v>50838.05250000002</v>
      </c>
      <c r="N27" s="41">
        <f t="shared" si="4"/>
        <v>48071.30250000002</v>
      </c>
      <c r="O27" s="41">
        <f t="shared" si="4"/>
        <v>48071.30250000002</v>
      </c>
      <c r="P27" s="41">
        <f t="shared" si="4"/>
        <v>62604.80250000002</v>
      </c>
      <c r="Q27" s="41">
        <f t="shared" si="4"/>
        <v>596922.62999999989</v>
      </c>
      <c r="R27" s="41">
        <f t="shared" si="4"/>
        <v>596922.62999999989</v>
      </c>
      <c r="S27" s="41">
        <f t="shared" si="4"/>
        <v>0</v>
      </c>
      <c r="T27" s="41">
        <f t="shared" si="4"/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47.25" customHeight="1" x14ac:dyDescent="0.25">
      <c r="A28" s="10" t="s">
        <v>74</v>
      </c>
      <c r="B28" s="104" t="s">
        <v>298</v>
      </c>
      <c r="C28" s="54">
        <f>C24+C25-C26-C27</f>
        <v>4116772.3049999997</v>
      </c>
      <c r="D28" s="41">
        <f t="shared" si="3"/>
        <v>82501.06500000009</v>
      </c>
      <c r="E28" s="54">
        <f>E24+E25-E26-E27</f>
        <v>-475111.3</v>
      </c>
      <c r="F28" s="54">
        <f t="shared" ref="F28:P28" si="5">F24+F25-F26-F27</f>
        <v>-364441.3</v>
      </c>
      <c r="G28" s="54">
        <f t="shared" si="5"/>
        <v>-585781.30000000005</v>
      </c>
      <c r="H28" s="54">
        <f t="shared" si="5"/>
        <v>169766.88499999998</v>
      </c>
      <c r="I28" s="54">
        <f t="shared" si="5"/>
        <v>169766.88499999998</v>
      </c>
      <c r="J28" s="54">
        <f t="shared" si="5"/>
        <v>167000.13499999998</v>
      </c>
      <c r="K28" s="54">
        <f t="shared" si="5"/>
        <v>169766.88499999998</v>
      </c>
      <c r="L28" s="54">
        <f t="shared" si="5"/>
        <v>169766.88499999998</v>
      </c>
      <c r="M28" s="54">
        <f t="shared" si="5"/>
        <v>167000.13499999998</v>
      </c>
      <c r="N28" s="54">
        <f t="shared" si="5"/>
        <v>169766.88499999998</v>
      </c>
      <c r="O28" s="54">
        <f t="shared" si="5"/>
        <v>169766.88499999998</v>
      </c>
      <c r="P28" s="54">
        <f t="shared" si="5"/>
        <v>155233.38499999998</v>
      </c>
      <c r="Q28" s="54">
        <f>Q24+Q25-Q26-Q27</f>
        <v>2017135.6200000006</v>
      </c>
      <c r="R28" s="54">
        <f>R24+R25-R26-R27</f>
        <v>2017135.6200000006</v>
      </c>
      <c r="S28" s="54">
        <f>S24+S25-S26-S27</f>
        <v>0</v>
      </c>
      <c r="T28" s="54">
        <f>T24+T25-T26-T27</f>
        <v>0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47.25" customHeight="1" x14ac:dyDescent="0.25">
      <c r="A29" s="10" t="s">
        <v>75</v>
      </c>
      <c r="B29" s="104" t="s">
        <v>299</v>
      </c>
      <c r="C29" s="41">
        <f>SUM(D29:T29)</f>
        <v>0</v>
      </c>
      <c r="D29" s="43">
        <f t="shared" si="3"/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56.25" customHeight="1" x14ac:dyDescent="0.25">
      <c r="A30" s="10" t="s">
        <v>126</v>
      </c>
      <c r="B30" s="104" t="s">
        <v>300</v>
      </c>
      <c r="C30" s="41">
        <f>D30+Q30+R30+S30+T30</f>
        <v>35060256</v>
      </c>
      <c r="D30" s="41">
        <f t="shared" si="3"/>
        <v>9561888</v>
      </c>
      <c r="E30" s="88">
        <v>0</v>
      </c>
      <c r="F30" s="88">
        <v>0</v>
      </c>
      <c r="G30" s="88">
        <v>0</v>
      </c>
      <c r="H30" s="54">
        <f>'Г1.1.1'!$D$7</f>
        <v>1062432</v>
      </c>
      <c r="I30" s="54">
        <f>'Г1.1.1'!$D$7</f>
        <v>1062432</v>
      </c>
      <c r="J30" s="54">
        <f>'Г1.1.1'!$D$7</f>
        <v>1062432</v>
      </c>
      <c r="K30" s="54">
        <f>'Г1.1.1'!$D$7</f>
        <v>1062432</v>
      </c>
      <c r="L30" s="54">
        <f>'Г1.1.1'!$D$7</f>
        <v>1062432</v>
      </c>
      <c r="M30" s="54">
        <f>'Г1.1.1'!$D$7</f>
        <v>1062432</v>
      </c>
      <c r="N30" s="54">
        <f>'Г1.1.1'!$D$7</f>
        <v>1062432</v>
      </c>
      <c r="O30" s="54">
        <f>'Г1.1.1'!$D$7</f>
        <v>1062432</v>
      </c>
      <c r="P30" s="54">
        <f>'Г1.1.1'!$D$7</f>
        <v>1062432</v>
      </c>
      <c r="Q30" s="41">
        <f>'Г1.1.1'!$C$7</f>
        <v>12749184</v>
      </c>
      <c r="R30" s="41">
        <f>'Г1.1.1'!$C$7</f>
        <v>12749184</v>
      </c>
      <c r="S30" s="41"/>
      <c r="T30" s="4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47.25" customHeight="1" x14ac:dyDescent="0.25">
      <c r="A31" s="10" t="s">
        <v>76</v>
      </c>
      <c r="B31" s="104" t="s">
        <v>301</v>
      </c>
      <c r="C31" s="41">
        <f>D31+Q31+R31+S31+T31</f>
        <v>-35060256</v>
      </c>
      <c r="D31" s="41">
        <f t="shared" si="3"/>
        <v>-9561888</v>
      </c>
      <c r="E31" s="89">
        <f t="shared" ref="E31:P31" si="6">E29-E30</f>
        <v>0</v>
      </c>
      <c r="F31" s="89">
        <f t="shared" si="6"/>
        <v>0</v>
      </c>
      <c r="G31" s="89">
        <f t="shared" si="6"/>
        <v>0</v>
      </c>
      <c r="H31" s="54">
        <f t="shared" si="6"/>
        <v>-1062432</v>
      </c>
      <c r="I31" s="54">
        <f t="shared" si="6"/>
        <v>-1062432</v>
      </c>
      <c r="J31" s="54">
        <f t="shared" si="6"/>
        <v>-1062432</v>
      </c>
      <c r="K31" s="54">
        <f t="shared" si="6"/>
        <v>-1062432</v>
      </c>
      <c r="L31" s="54">
        <f t="shared" si="6"/>
        <v>-1062432</v>
      </c>
      <c r="M31" s="54">
        <f t="shared" si="6"/>
        <v>-1062432</v>
      </c>
      <c r="N31" s="54">
        <f t="shared" si="6"/>
        <v>-1062432</v>
      </c>
      <c r="O31" s="54">
        <f t="shared" si="6"/>
        <v>-1062432</v>
      </c>
      <c r="P31" s="54">
        <f t="shared" si="6"/>
        <v>-1062432</v>
      </c>
      <c r="Q31" s="54">
        <f>Q29-Q30</f>
        <v>-12749184</v>
      </c>
      <c r="R31" s="54">
        <f>R29-R30</f>
        <v>-12749184</v>
      </c>
      <c r="S31" s="54">
        <f>S29-S30</f>
        <v>0</v>
      </c>
      <c r="T31" s="54">
        <f>T29-T30</f>
        <v>0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23.25" customHeight="1" x14ac:dyDescent="0.3">
      <c r="A32" s="16" t="s">
        <v>77</v>
      </c>
      <c r="B32" s="104" t="s">
        <v>274</v>
      </c>
      <c r="C32" s="41">
        <f>D32+Q32+R32+S32+T32</f>
        <v>39177028.305000007</v>
      </c>
      <c r="D32" s="39">
        <f t="shared" si="3"/>
        <v>9644389.0649999995</v>
      </c>
      <c r="E32" s="39">
        <f>E28-E31</f>
        <v>-475111.3</v>
      </c>
      <c r="F32" s="39">
        <f t="shared" ref="F32:P32" si="7">F28-F31</f>
        <v>-364441.3</v>
      </c>
      <c r="G32" s="39">
        <f t="shared" si="7"/>
        <v>-585781.30000000005</v>
      </c>
      <c r="H32" s="39">
        <f t="shared" si="7"/>
        <v>1232198.885</v>
      </c>
      <c r="I32" s="39">
        <f t="shared" si="7"/>
        <v>1232198.885</v>
      </c>
      <c r="J32" s="39">
        <f t="shared" si="7"/>
        <v>1229432.135</v>
      </c>
      <c r="K32" s="39">
        <f t="shared" si="7"/>
        <v>1232198.885</v>
      </c>
      <c r="L32" s="39">
        <f t="shared" si="7"/>
        <v>1232198.885</v>
      </c>
      <c r="M32" s="39">
        <f t="shared" si="7"/>
        <v>1229432.135</v>
      </c>
      <c r="N32" s="39">
        <f t="shared" si="7"/>
        <v>1232198.885</v>
      </c>
      <c r="O32" s="39">
        <f t="shared" si="7"/>
        <v>1232198.885</v>
      </c>
      <c r="P32" s="39">
        <f t="shared" si="7"/>
        <v>1217665.385</v>
      </c>
      <c r="Q32" s="39">
        <f>Q28-Q31</f>
        <v>14766319.620000001</v>
      </c>
      <c r="R32" s="39">
        <f>R28-R31</f>
        <v>14766319.620000001</v>
      </c>
      <c r="S32" s="39">
        <f>S28-S31</f>
        <v>0</v>
      </c>
      <c r="T32" s="39">
        <f>T28-T31</f>
        <v>0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36" customHeight="1" x14ac:dyDescent="0.3">
      <c r="A33" s="16" t="s">
        <v>78</v>
      </c>
      <c r="B33" s="104" t="s">
        <v>302</v>
      </c>
      <c r="C33" s="39"/>
      <c r="D33" s="39">
        <f>D32</f>
        <v>9644389.0649999995</v>
      </c>
      <c r="E33" s="39">
        <f>E32</f>
        <v>-475111.3</v>
      </c>
      <c r="F33" s="39">
        <f>E33+F32</f>
        <v>-839552.6</v>
      </c>
      <c r="G33" s="39">
        <f t="shared" ref="G33:P33" si="8">F33+G32</f>
        <v>-1425333.9</v>
      </c>
      <c r="H33" s="39">
        <f t="shared" si="8"/>
        <v>-193135.0149999999</v>
      </c>
      <c r="I33" s="39">
        <f t="shared" si="8"/>
        <v>1039063.8700000001</v>
      </c>
      <c r="J33" s="39">
        <f t="shared" si="8"/>
        <v>2268496.0049999999</v>
      </c>
      <c r="K33" s="39">
        <f t="shared" si="8"/>
        <v>3500694.8899999997</v>
      </c>
      <c r="L33" s="39">
        <f t="shared" si="8"/>
        <v>4732893.7749999994</v>
      </c>
      <c r="M33" s="39">
        <f t="shared" si="8"/>
        <v>5962325.9099999992</v>
      </c>
      <c r="N33" s="39">
        <f t="shared" si="8"/>
        <v>7194524.794999999</v>
      </c>
      <c r="O33" s="39">
        <f t="shared" si="8"/>
        <v>8426723.6799999997</v>
      </c>
      <c r="P33" s="39">
        <f t="shared" si="8"/>
        <v>9644389.0649999995</v>
      </c>
      <c r="Q33" s="39">
        <f>P33+Q32</f>
        <v>24410708.685000002</v>
      </c>
      <c r="R33" s="39">
        <f>Q33+R32</f>
        <v>39177028.305000007</v>
      </c>
      <c r="S33" s="39"/>
      <c r="T33" s="39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8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U37" s="1"/>
      <c r="V37" s="1"/>
      <c r="W37" s="1"/>
      <c r="X37" s="1"/>
      <c r="Y37" s="1"/>
      <c r="Z37" s="1"/>
      <c r="AA37" s="26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 x14ac:dyDescent="0.25"/>
    <row r="212" spans="1:37" ht="15.75" customHeight="1" x14ac:dyDescent="0.25"/>
    <row r="213" spans="1:37" ht="15.75" customHeight="1" x14ac:dyDescent="0.25"/>
    <row r="214" spans="1:37" ht="15.75" customHeight="1" x14ac:dyDescent="0.25"/>
    <row r="215" spans="1:37" ht="15.75" customHeight="1" x14ac:dyDescent="0.25"/>
    <row r="216" spans="1:37" ht="15.75" customHeight="1" x14ac:dyDescent="0.25"/>
    <row r="217" spans="1:37" ht="15.75" customHeight="1" x14ac:dyDescent="0.25"/>
    <row r="218" spans="1:37" ht="15.75" customHeight="1" x14ac:dyDescent="0.25"/>
    <row r="219" spans="1:37" ht="15.75" customHeight="1" x14ac:dyDescent="0.25"/>
    <row r="220" spans="1:37" ht="15.75" customHeight="1" x14ac:dyDescent="0.25"/>
    <row r="221" spans="1:37" ht="15.75" customHeight="1" x14ac:dyDescent="0.25"/>
    <row r="222" spans="1:37" ht="15.75" customHeight="1" x14ac:dyDescent="0.25"/>
    <row r="223" spans="1:37" ht="15.75" customHeight="1" x14ac:dyDescent="0.25"/>
    <row r="224" spans="1:3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22">
    <mergeCell ref="A3:R3"/>
    <mergeCell ref="A5:A7"/>
    <mergeCell ref="R22:R23"/>
    <mergeCell ref="D5:T5"/>
    <mergeCell ref="E6:P6"/>
    <mergeCell ref="S22:S23"/>
    <mergeCell ref="T6:T7"/>
    <mergeCell ref="C5:C7"/>
    <mergeCell ref="B5:B7"/>
    <mergeCell ref="T22:T23"/>
    <mergeCell ref="C21:C23"/>
    <mergeCell ref="A19:T19"/>
    <mergeCell ref="A21:A23"/>
    <mergeCell ref="D6:D7"/>
    <mergeCell ref="D22:D23"/>
    <mergeCell ref="R6:R7"/>
    <mergeCell ref="B21:B23"/>
    <mergeCell ref="D21:T21"/>
    <mergeCell ref="E22:P22"/>
    <mergeCell ref="Q6:Q7"/>
    <mergeCell ref="Q22:Q23"/>
    <mergeCell ref="S6:S7"/>
  </mergeCells>
  <phoneticPr fontId="35" type="noConversion"/>
  <pageMargins left="0.7" right="0.7" top="0.75" bottom="0.75" header="0" footer="0"/>
  <pageSetup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CC00"/>
  </sheetPr>
  <dimension ref="A1:X1000"/>
  <sheetViews>
    <sheetView topLeftCell="A2" workbookViewId="0">
      <selection activeCell="C6" sqref="C6"/>
    </sheetView>
  </sheetViews>
  <sheetFormatPr defaultColWidth="12.54296875" defaultRowHeight="15" customHeight="1" x14ac:dyDescent="0.25"/>
  <cols>
    <col min="1" max="1" width="34" customWidth="1"/>
    <col min="2" max="2" width="9.90625" customWidth="1"/>
    <col min="3" max="3" width="11.90625" customWidth="1"/>
    <col min="4" max="4" width="10.08984375" customWidth="1"/>
    <col min="5" max="5" width="9.6328125" customWidth="1"/>
    <col min="6" max="8" width="9.453125" customWidth="1"/>
    <col min="9" max="10" width="9" customWidth="1"/>
    <col min="11" max="11" width="9.90625" customWidth="1"/>
    <col min="12" max="12" width="8.90625" customWidth="1"/>
    <col min="13" max="13" width="9.08984375" customWidth="1"/>
    <col min="14" max="14" width="9.36328125" customWidth="1"/>
    <col min="15" max="24" width="7" customWidth="1"/>
    <col min="25" max="26" width="11" customWidth="1"/>
  </cols>
  <sheetData>
    <row r="1" spans="1:24" ht="15.75" customHeight="1" x14ac:dyDescent="0.25">
      <c r="A1" s="1"/>
      <c r="B1" s="1"/>
      <c r="C1" s="26" t="s">
        <v>218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 x14ac:dyDescent="0.25">
      <c r="A2" s="195" t="s">
        <v>79</v>
      </c>
      <c r="B2" s="196"/>
      <c r="C2" s="196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25">
      <c r="A4" s="197" t="s">
        <v>37</v>
      </c>
      <c r="B4" s="188" t="s">
        <v>80</v>
      </c>
      <c r="C4" s="192" t="s">
        <v>553</v>
      </c>
      <c r="D4" s="15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25">
      <c r="A5" s="194"/>
      <c r="B5" s="190"/>
      <c r="C5" s="194"/>
      <c r="D5" s="48"/>
      <c r="E5" s="48"/>
      <c r="F5" s="48"/>
      <c r="G5" s="48"/>
      <c r="H5" s="4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1.5" customHeight="1" x14ac:dyDescent="0.25">
      <c r="A6" s="100" t="s">
        <v>81</v>
      </c>
      <c r="B6" s="104" t="s">
        <v>82</v>
      </c>
      <c r="C6" s="153">
        <f>C8*C10*(1-B12)+C7*C9</f>
        <v>0.11125912096807634</v>
      </c>
      <c r="D6" s="57"/>
      <c r="E6" s="57"/>
      <c r="F6" s="57"/>
      <c r="G6" s="57"/>
      <c r="H6" s="5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1.5" customHeight="1" x14ac:dyDescent="0.35">
      <c r="A7" s="96" t="s">
        <v>83</v>
      </c>
      <c r="B7" s="145" t="s">
        <v>283</v>
      </c>
      <c r="C7" s="140">
        <f>'Д1.1.1'!D11</f>
        <v>6.173991932697314E-2</v>
      </c>
      <c r="D7" s="58"/>
      <c r="E7" s="58"/>
      <c r="F7" s="58"/>
      <c r="G7" s="58"/>
      <c r="H7" s="5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1.5" customHeight="1" x14ac:dyDescent="0.35">
      <c r="A8" s="96" t="s">
        <v>84</v>
      </c>
      <c r="B8" s="145" t="s">
        <v>284</v>
      </c>
      <c r="C8" s="140">
        <f>'Д1.1.1'!D12</f>
        <v>0.93826008067302691</v>
      </c>
      <c r="D8" s="58"/>
      <c r="E8" s="58"/>
      <c r="F8" s="58"/>
      <c r="G8" s="58"/>
      <c r="H8" s="5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1.5" customHeight="1" x14ac:dyDescent="0.35">
      <c r="A9" s="96" t="s">
        <v>85</v>
      </c>
      <c r="B9" s="145" t="s">
        <v>285</v>
      </c>
      <c r="C9" s="143">
        <v>0.1</v>
      </c>
      <c r="D9" s="58"/>
      <c r="E9" s="58"/>
      <c r="F9" s="58"/>
      <c r="G9" s="58"/>
      <c r="H9" s="5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.75" customHeight="1" x14ac:dyDescent="0.35">
      <c r="A10" s="96" t="s">
        <v>86</v>
      </c>
      <c r="B10" s="145" t="s">
        <v>286</v>
      </c>
      <c r="C10" s="143">
        <v>0.14000000000000001</v>
      </c>
      <c r="D10" s="58"/>
      <c r="E10" s="58"/>
      <c r="F10" s="58"/>
      <c r="G10" s="58"/>
      <c r="H10" s="5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 x14ac:dyDescent="0.25">
      <c r="A12" s="59" t="s">
        <v>87</v>
      </c>
      <c r="B12" s="60">
        <v>0.2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25">
      <c r="A14" s="59" t="s">
        <v>88</v>
      </c>
      <c r="B14" s="163">
        <f>'Б1.1.1'!B44</f>
        <v>5.5E-2</v>
      </c>
      <c r="C14" s="1"/>
      <c r="D14" s="1"/>
      <c r="E14" s="79"/>
      <c r="F14" s="1"/>
      <c r="G14" s="26" t="s">
        <v>219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 customHeight="1" x14ac:dyDescent="0.25">
      <c r="A15" s="195" t="s">
        <v>244</v>
      </c>
      <c r="B15" s="195"/>
      <c r="C15" s="195"/>
      <c r="D15" s="195"/>
      <c r="E15" s="195"/>
      <c r="F15" s="195"/>
      <c r="G15" s="19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25">
      <c r="A17" s="197" t="s">
        <v>37</v>
      </c>
      <c r="B17" s="188" t="s">
        <v>89</v>
      </c>
      <c r="C17" s="201" t="s">
        <v>28</v>
      </c>
      <c r="D17" s="234"/>
      <c r="E17" s="234"/>
      <c r="F17" s="234"/>
      <c r="G17" s="23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 x14ac:dyDescent="0.25">
      <c r="A18" s="194"/>
      <c r="B18" s="194"/>
      <c r="C18" s="4">
        <v>1</v>
      </c>
      <c r="D18" s="4">
        <v>2</v>
      </c>
      <c r="E18" s="4">
        <v>3</v>
      </c>
      <c r="F18" s="4">
        <v>4</v>
      </c>
      <c r="G18" s="4">
        <v>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3.75" customHeight="1" x14ac:dyDescent="0.25">
      <c r="A19" s="8" t="s">
        <v>90</v>
      </c>
      <c r="B19" s="144" t="s">
        <v>82</v>
      </c>
      <c r="C19" s="56">
        <f>C6</f>
        <v>0.11125912096807634</v>
      </c>
      <c r="D19" s="56">
        <f>C19</f>
        <v>0.11125912096807634</v>
      </c>
      <c r="E19" s="56">
        <f>D19</f>
        <v>0.11125912096807634</v>
      </c>
      <c r="F19" s="56">
        <f>E19</f>
        <v>0.11125912096807634</v>
      </c>
      <c r="G19" s="56">
        <f>F19</f>
        <v>0.11125912096807634</v>
      </c>
      <c r="H19" s="1"/>
      <c r="I19" s="6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50.25" customHeight="1" x14ac:dyDescent="0.25">
      <c r="A20" s="8" t="s">
        <v>91</v>
      </c>
      <c r="B20" s="144" t="s">
        <v>275</v>
      </c>
      <c r="C20" s="62">
        <v>1</v>
      </c>
      <c r="D20" s="62">
        <f>1/(1+D19)^C18</f>
        <v>0.89988012798387407</v>
      </c>
      <c r="E20" s="62">
        <f>1/(1+E19)^D18</f>
        <v>0.80978424474027355</v>
      </c>
      <c r="F20" s="62">
        <f>1/(1+F19)^E18</f>
        <v>0.72870874979620215</v>
      </c>
      <c r="G20" s="62">
        <f>1/(1+G19)^F18</f>
        <v>0.65575052302957526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52.5" customHeight="1" x14ac:dyDescent="0.25">
      <c r="A21" s="8" t="s">
        <v>92</v>
      </c>
      <c r="B21" s="144" t="s">
        <v>276</v>
      </c>
      <c r="C21" s="63">
        <f>C19+$B$14+C19*$B$14</f>
        <v>0.17237837262132055</v>
      </c>
      <c r="D21" s="63">
        <f>C21</f>
        <v>0.17237837262132055</v>
      </c>
      <c r="E21" s="63">
        <f>D21</f>
        <v>0.17237837262132055</v>
      </c>
      <c r="F21" s="63">
        <f>E21</f>
        <v>0.17237837262132055</v>
      </c>
      <c r="G21" s="63">
        <f>F21</f>
        <v>0.17237837262132055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50.25" customHeight="1" x14ac:dyDescent="0.25">
      <c r="A22" s="8" t="s">
        <v>269</v>
      </c>
      <c r="B22" s="144" t="s">
        <v>277</v>
      </c>
      <c r="C22" s="62">
        <v>1</v>
      </c>
      <c r="D22" s="62">
        <f>1/(1+D21)^C18</f>
        <v>0.85296694595627875</v>
      </c>
      <c r="E22" s="62">
        <f>1/(1+E21)^D18</f>
        <v>0.72755261089398138</v>
      </c>
      <c r="F22" s="62">
        <f>1/(1+F21)^E18</f>
        <v>0.6205783285367561</v>
      </c>
      <c r="G22" s="62">
        <f>1/(1+G21)^F18</f>
        <v>0.52933280161864904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79"/>
      <c r="M24" s="1"/>
      <c r="N24" s="26" t="s">
        <v>220</v>
      </c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" customHeight="1" x14ac:dyDescent="0.25">
      <c r="A25" s="195" t="s">
        <v>94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9.5" customHeight="1" x14ac:dyDescent="0.25">
      <c r="A27" s="197" t="s">
        <v>37</v>
      </c>
      <c r="B27" s="188" t="s">
        <v>95</v>
      </c>
      <c r="C27" s="201" t="s">
        <v>31</v>
      </c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5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7.25" customHeight="1" x14ac:dyDescent="0.25">
      <c r="A28" s="194"/>
      <c r="B28" s="194"/>
      <c r="C28" s="52">
        <v>1</v>
      </c>
      <c r="D28" s="52">
        <v>2</v>
      </c>
      <c r="E28" s="52">
        <v>3</v>
      </c>
      <c r="F28" s="52">
        <v>4</v>
      </c>
      <c r="G28" s="52">
        <v>5</v>
      </c>
      <c r="H28" s="52">
        <v>6</v>
      </c>
      <c r="I28" s="52">
        <v>7</v>
      </c>
      <c r="J28" s="52">
        <v>8</v>
      </c>
      <c r="K28" s="52">
        <v>9</v>
      </c>
      <c r="L28" s="52">
        <v>10</v>
      </c>
      <c r="M28" s="52">
        <v>11</v>
      </c>
      <c r="N28" s="52">
        <v>12</v>
      </c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5" x14ac:dyDescent="0.25">
      <c r="A29" s="8" t="s">
        <v>221</v>
      </c>
      <c r="B29" s="55" t="s">
        <v>270</v>
      </c>
      <c r="C29" s="80">
        <f>C19^1/12</f>
        <v>9.271593414006362E-3</v>
      </c>
      <c r="D29" s="80">
        <f t="shared" ref="D29:N29" si="0">C29</f>
        <v>9.271593414006362E-3</v>
      </c>
      <c r="E29" s="80">
        <f t="shared" si="0"/>
        <v>9.271593414006362E-3</v>
      </c>
      <c r="F29" s="80">
        <f t="shared" si="0"/>
        <v>9.271593414006362E-3</v>
      </c>
      <c r="G29" s="80">
        <f t="shared" si="0"/>
        <v>9.271593414006362E-3</v>
      </c>
      <c r="H29" s="80">
        <f t="shared" si="0"/>
        <v>9.271593414006362E-3</v>
      </c>
      <c r="I29" s="80">
        <f t="shared" si="0"/>
        <v>9.271593414006362E-3</v>
      </c>
      <c r="J29" s="80">
        <f t="shared" si="0"/>
        <v>9.271593414006362E-3</v>
      </c>
      <c r="K29" s="80">
        <f t="shared" si="0"/>
        <v>9.271593414006362E-3</v>
      </c>
      <c r="L29" s="80">
        <f t="shared" si="0"/>
        <v>9.271593414006362E-3</v>
      </c>
      <c r="M29" s="80">
        <f t="shared" si="0"/>
        <v>9.271593414006362E-3</v>
      </c>
      <c r="N29" s="80">
        <f t="shared" si="0"/>
        <v>9.271593414006362E-3</v>
      </c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5" x14ac:dyDescent="0.25">
      <c r="A30" s="8" t="s">
        <v>223</v>
      </c>
      <c r="B30" s="55" t="s">
        <v>271</v>
      </c>
      <c r="C30" s="62">
        <v>1</v>
      </c>
      <c r="D30" s="62">
        <f>1/(1+D29)^C28</f>
        <v>0.99081357934325298</v>
      </c>
      <c r="E30" s="62">
        <f t="shared" ref="E30:N30" si="1">1/(1+E29)^D28</f>
        <v>0.98171154901098856</v>
      </c>
      <c r="F30" s="62">
        <f t="shared" si="1"/>
        <v>0.97269313375818689</v>
      </c>
      <c r="G30" s="62">
        <f t="shared" si="1"/>
        <v>0.96375756546155478</v>
      </c>
      <c r="H30" s="62">
        <f t="shared" si="1"/>
        <v>0.95490408305410246</v>
      </c>
      <c r="I30" s="62">
        <f t="shared" si="1"/>
        <v>0.94613193246032223</v>
      </c>
      <c r="J30" s="62">
        <f t="shared" si="1"/>
        <v>0.93744036653196061</v>
      </c>
      <c r="K30" s="62">
        <f t="shared" si="1"/>
        <v>0.92882864498438311</v>
      </c>
      <c r="L30" s="62">
        <f t="shared" si="1"/>
        <v>0.92029603433352014</v>
      </c>
      <c r="M30" s="62">
        <f t="shared" si="1"/>
        <v>0.91184180783339641</v>
      </c>
      <c r="N30" s="62">
        <f t="shared" si="1"/>
        <v>0.90346524541423001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7.25" customHeight="1" x14ac:dyDescent="0.25">
      <c r="A31" s="8" t="s">
        <v>222</v>
      </c>
      <c r="B31" s="55" t="s">
        <v>272</v>
      </c>
      <c r="C31" s="63">
        <f>C21^1/12</f>
        <v>1.4364864385110046E-2</v>
      </c>
      <c r="D31" s="63">
        <f t="shared" ref="D31:N31" si="2">C31</f>
        <v>1.4364864385110046E-2</v>
      </c>
      <c r="E31" s="63">
        <f t="shared" si="2"/>
        <v>1.4364864385110046E-2</v>
      </c>
      <c r="F31" s="63">
        <f t="shared" si="2"/>
        <v>1.4364864385110046E-2</v>
      </c>
      <c r="G31" s="63">
        <f t="shared" si="2"/>
        <v>1.4364864385110046E-2</v>
      </c>
      <c r="H31" s="63">
        <f t="shared" si="2"/>
        <v>1.4364864385110046E-2</v>
      </c>
      <c r="I31" s="63">
        <f t="shared" si="2"/>
        <v>1.4364864385110046E-2</v>
      </c>
      <c r="J31" s="63">
        <f t="shared" si="2"/>
        <v>1.4364864385110046E-2</v>
      </c>
      <c r="K31" s="63">
        <f t="shared" si="2"/>
        <v>1.4364864385110046E-2</v>
      </c>
      <c r="L31" s="63">
        <f t="shared" si="2"/>
        <v>1.4364864385110046E-2</v>
      </c>
      <c r="M31" s="63">
        <f t="shared" si="2"/>
        <v>1.4364864385110046E-2</v>
      </c>
      <c r="N31" s="63">
        <f t="shared" si="2"/>
        <v>1.4364864385110046E-2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5" x14ac:dyDescent="0.25">
      <c r="A32" s="8" t="s">
        <v>93</v>
      </c>
      <c r="B32" s="55" t="s">
        <v>273</v>
      </c>
      <c r="C32" s="62">
        <v>1</v>
      </c>
      <c r="D32" s="62">
        <f t="shared" ref="D32:N32" si="3">1/(1+D31)^C28</f>
        <v>0.98583856274061932</v>
      </c>
      <c r="E32" s="62">
        <f t="shared" si="3"/>
        <v>0.97187767178648987</v>
      </c>
      <c r="F32" s="62">
        <f t="shared" si="3"/>
        <v>0.9581144871136924</v>
      </c>
      <c r="G32" s="62">
        <f t="shared" si="3"/>
        <v>0.94454620891712793</v>
      </c>
      <c r="H32" s="62">
        <f t="shared" si="3"/>
        <v>0.93117007704096211</v>
      </c>
      <c r="I32" s="62">
        <f t="shared" si="3"/>
        <v>0.91798337041713363</v>
      </c>
      <c r="J32" s="62">
        <f t="shared" si="3"/>
        <v>0.90498340651181652</v>
      </c>
      <c r="K32" s="62">
        <f t="shared" si="3"/>
        <v>0.89216754077971872</v>
      </c>
      <c r="L32" s="62">
        <f t="shared" si="3"/>
        <v>0.87953316612611065</v>
      </c>
      <c r="M32" s="62">
        <f t="shared" si="3"/>
        <v>0.86707771237647124</v>
      </c>
      <c r="N32" s="62">
        <f t="shared" si="3"/>
        <v>0.8547986457536445</v>
      </c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25"/>
    <row r="224" spans="1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5:N25"/>
    <mergeCell ref="A27:A28"/>
    <mergeCell ref="B27:B28"/>
    <mergeCell ref="C27:N27"/>
    <mergeCell ref="A17:A18"/>
    <mergeCell ref="B17:B18"/>
    <mergeCell ref="C17:G17"/>
    <mergeCell ref="A15:G15"/>
    <mergeCell ref="A2:C2"/>
    <mergeCell ref="A4:A5"/>
    <mergeCell ref="B4:B5"/>
    <mergeCell ref="C4:C5"/>
  </mergeCells>
  <phoneticPr fontId="35" type="noConversion"/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9CC00"/>
  </sheetPr>
  <dimension ref="A1:BK1019"/>
  <sheetViews>
    <sheetView topLeftCell="A33" workbookViewId="0">
      <selection activeCell="G78" sqref="G78"/>
    </sheetView>
  </sheetViews>
  <sheetFormatPr defaultColWidth="12.54296875" defaultRowHeight="15" customHeight="1" x14ac:dyDescent="0.25"/>
  <cols>
    <col min="1" max="1" width="55" bestFit="1" customWidth="1"/>
    <col min="2" max="2" width="15.54296875" bestFit="1" customWidth="1"/>
    <col min="3" max="3" width="15" bestFit="1" customWidth="1"/>
    <col min="4" max="6" width="12.90625" bestFit="1" customWidth="1"/>
    <col min="7" max="7" width="14.08984375" bestFit="1" customWidth="1"/>
    <col min="8" max="8" width="16.90625" bestFit="1" customWidth="1"/>
    <col min="9" max="11" width="11.6328125" bestFit="1" customWidth="1"/>
    <col min="12" max="14" width="12.90625" bestFit="1" customWidth="1"/>
    <col min="15" max="15" width="16.90625" bestFit="1" customWidth="1"/>
    <col min="16" max="16" width="17" bestFit="1" customWidth="1"/>
    <col min="17" max="63" width="11" bestFit="1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26" t="s">
        <v>224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5">
      <c r="A3" s="195" t="s">
        <v>323</v>
      </c>
      <c r="B3" s="196"/>
      <c r="C3" s="196"/>
      <c r="D3" s="196"/>
      <c r="E3" s="196"/>
      <c r="F3" s="196"/>
      <c r="G3" s="196"/>
      <c r="H3" s="19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 customHeight="1" x14ac:dyDescent="0.25">
      <c r="A5" s="197" t="s">
        <v>37</v>
      </c>
      <c r="B5" s="188" t="s">
        <v>96</v>
      </c>
      <c r="C5" s="192" t="s">
        <v>553</v>
      </c>
      <c r="D5" s="201" t="s">
        <v>64</v>
      </c>
      <c r="E5" s="234"/>
      <c r="F5" s="234"/>
      <c r="G5" s="234"/>
      <c r="H5" s="23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94"/>
      <c r="B6" s="194"/>
      <c r="C6" s="194"/>
      <c r="D6" s="93">
        <v>1</v>
      </c>
      <c r="E6" s="93">
        <v>2</v>
      </c>
      <c r="F6" s="93">
        <v>3</v>
      </c>
      <c r="G6" s="93">
        <v>4</v>
      </c>
      <c r="H6" s="93">
        <v>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customHeight="1" x14ac:dyDescent="0.35">
      <c r="A7" s="7" t="s">
        <v>97</v>
      </c>
      <c r="B7" s="104" t="s">
        <v>274</v>
      </c>
      <c r="C7" s="76">
        <f>'Е1.1.1 и 1.1.2'!C12</f>
        <v>4116772.3049999997</v>
      </c>
      <c r="D7" s="41">
        <f>'Е1.1.1 и 1.1.2'!D12</f>
        <v>82501.064999999944</v>
      </c>
      <c r="E7" s="41">
        <f>'Е1.1.1 и 1.1.2'!Q12</f>
        <v>2017135.6200000006</v>
      </c>
      <c r="F7" s="41">
        <f>'Е1.1.1 и 1.1.2'!R12</f>
        <v>2017135.6200000006</v>
      </c>
      <c r="G7" s="41">
        <f>'Е1.1.1 и 1.1.2'!S12</f>
        <v>0</v>
      </c>
      <c r="H7" s="41">
        <f>'Е1.1.1 и 1.1.2'!T12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 x14ac:dyDescent="0.35">
      <c r="A8" s="7" t="s">
        <v>101</v>
      </c>
      <c r="B8" s="104" t="s">
        <v>287</v>
      </c>
      <c r="C8" s="41"/>
      <c r="D8" s="76">
        <f>D7</f>
        <v>82501.064999999944</v>
      </c>
      <c r="E8" s="76">
        <f>E7+D8</f>
        <v>2099636.6850000005</v>
      </c>
      <c r="F8" s="76">
        <f>F7+E8</f>
        <v>4116772.3050000011</v>
      </c>
      <c r="G8" s="76">
        <f>G7+F8</f>
        <v>4116772.3050000011</v>
      </c>
      <c r="H8" s="76">
        <f>H7+G8</f>
        <v>4116772.3050000011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" x14ac:dyDescent="0.25">
      <c r="A9" s="10" t="s">
        <v>102</v>
      </c>
      <c r="B9" s="144" t="s">
        <v>275</v>
      </c>
      <c r="C9" s="41"/>
      <c r="D9" s="64">
        <f>'Е1.2.1 - 1.2.3'!C20</f>
        <v>1</v>
      </c>
      <c r="E9" s="64">
        <f>'Е1.2.1 - 1.2.3'!D20</f>
        <v>0.89988012798387407</v>
      </c>
      <c r="F9" s="64">
        <f>'Е1.2.1 - 1.2.3'!E20</f>
        <v>0.80978424474027355</v>
      </c>
      <c r="G9" s="64">
        <f>'Е1.2.1 - 1.2.3'!F20</f>
        <v>0.72870874979620215</v>
      </c>
      <c r="H9" s="64">
        <f>'Е1.2.1 - 1.2.3'!G20</f>
        <v>0.65575052302957526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3">
      <c r="A10" s="81" t="s">
        <v>103</v>
      </c>
      <c r="B10" s="104" t="s">
        <v>288</v>
      </c>
      <c r="C10" s="76">
        <f>SUM(D10:H10)</f>
        <v>3531125.9694668353</v>
      </c>
      <c r="D10" s="76">
        <f>D9*D7</f>
        <v>82501.064999999944</v>
      </c>
      <c r="E10" s="76">
        <f>E9*E7</f>
        <v>1815180.2598864317</v>
      </c>
      <c r="F10" s="76">
        <f>F9*F7</f>
        <v>1633444.6445804038</v>
      </c>
      <c r="G10" s="76">
        <f>G9*G7</f>
        <v>0</v>
      </c>
      <c r="H10" s="76">
        <f>H9*H7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7.25" customHeight="1" x14ac:dyDescent="0.3">
      <c r="A11" s="81" t="s">
        <v>245</v>
      </c>
      <c r="B11" s="104" t="s">
        <v>289</v>
      </c>
      <c r="C11" s="54"/>
      <c r="D11" s="75">
        <f>D10</f>
        <v>82501.064999999944</v>
      </c>
      <c r="E11" s="75">
        <f>D11+E10</f>
        <v>1897681.3248864317</v>
      </c>
      <c r="F11" s="75">
        <f>E11+F10</f>
        <v>3531125.9694668353</v>
      </c>
      <c r="G11" s="75">
        <f>F11+G10</f>
        <v>3531125.9694668353</v>
      </c>
      <c r="H11" s="75">
        <f>G11+H10</f>
        <v>3531125.9694668353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7.25" customHeight="1" x14ac:dyDescent="0.25">
      <c r="A12" s="10" t="s">
        <v>105</v>
      </c>
      <c r="B12" s="104" t="s">
        <v>290</v>
      </c>
      <c r="C12" s="41">
        <f>SUM(D12:H12)</f>
        <v>6429705.9457506342</v>
      </c>
      <c r="D12" s="41">
        <f>('Е1.1.1 и 1.1.2'!D8+'Е1.1.1 и 1.1.2'!D9)*D9</f>
        <v>1960543.6875</v>
      </c>
      <c r="E12" s="41">
        <f>('Е1.1.1 и 1.1.2'!Q8+'Е1.1.1 и 1.1.2'!Q9)*E9</f>
        <v>2352339.0725673023</v>
      </c>
      <c r="F12" s="41">
        <f>('Е1.1.1 и 1.1.2'!R8+'Е1.1.1 и 1.1.2'!R9)*F9</f>
        <v>2116823.1856833315</v>
      </c>
      <c r="G12" s="41">
        <f>('Е1.1.1 и 1.1.2'!S8+'Е1.1.1 и 1.1.2'!S9)*G9</f>
        <v>0</v>
      </c>
      <c r="H12" s="41">
        <f>('Е1.1.1 и 1.1.2'!T8+'Е1.1.1 и 1.1.2'!T9)*H9</f>
        <v>0</v>
      </c>
      <c r="I12" s="1"/>
      <c r="J12" s="9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7.25" customHeight="1" x14ac:dyDescent="0.35">
      <c r="A13" s="7" t="s">
        <v>106</v>
      </c>
      <c r="B13" s="104" t="s">
        <v>291</v>
      </c>
      <c r="C13" s="41">
        <f>SUM(D13:H13)</f>
        <v>1473246.0762837986</v>
      </c>
      <c r="D13" s="41">
        <f>D9*('Е1.1.1 и 1.1.2'!D11)</f>
        <v>452708.72250000015</v>
      </c>
      <c r="E13" s="41">
        <f>E9*('Е1.1.1 и 1.1.2'!Q11)</f>
        <v>537158.81268087064</v>
      </c>
      <c r="F13" s="41">
        <f>F9*('Е1.1.1 и 1.1.2'!R11)</f>
        <v>483378.54110292764</v>
      </c>
      <c r="G13" s="41">
        <f>G9*('Е1.1.1 и 1.1.2'!S11)</f>
        <v>0</v>
      </c>
      <c r="H13" s="41">
        <f>H9*('Е1.1.1 и 1.1.2'!T11)</f>
        <v>0</v>
      </c>
      <c r="I13" s="92"/>
      <c r="J13" s="9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 x14ac:dyDescent="0.35">
      <c r="A14" s="7" t="s">
        <v>107</v>
      </c>
      <c r="B14" s="104" t="s">
        <v>292</v>
      </c>
      <c r="C14" s="41">
        <f>SUM(D14:H14)</f>
        <v>1425333.9</v>
      </c>
      <c r="D14" s="41">
        <f>D9*'Е1.1.1 и 1.1.2'!D10</f>
        <v>1425333.9</v>
      </c>
      <c r="E14" s="41">
        <f>E9*'Е1.1.1 и 1.1.2'!Q10</f>
        <v>0</v>
      </c>
      <c r="F14" s="41">
        <f>F9*'Е1.1.1 и 1.1.2'!R10</f>
        <v>0</v>
      </c>
      <c r="G14" s="41">
        <f>G9*'Е1.1.1 и 1.1.2'!S10</f>
        <v>0</v>
      </c>
      <c r="H14" s="41">
        <f>H9*'Е1.1.1 и 1.1.2'!T10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5" customHeight="1" x14ac:dyDescent="0.25">
      <c r="A15" s="10" t="s">
        <v>317</v>
      </c>
      <c r="B15" s="144" t="s">
        <v>314</v>
      </c>
      <c r="C15" s="41"/>
      <c r="D15" s="64">
        <f>(1+'Е1.2.1 - 1.2.3'!$C$6)^($H$6-D6)</f>
        <v>1.5249701904620496</v>
      </c>
      <c r="E15" s="64">
        <f>(1+'Е1.2.1 - 1.2.3'!$C$6)^($H$6-E6)</f>
        <v>1.3722903701645819</v>
      </c>
      <c r="F15" s="64">
        <f>(1+'Е1.2.1 - 1.2.3'!$C$6)^($H$6-F6)</f>
        <v>1.2348968339347419</v>
      </c>
      <c r="G15" s="64">
        <f>(1+'Е1.2.1 - 1.2.3'!$C$6)^($H$6-G6)</f>
        <v>1.1112591209680764</v>
      </c>
      <c r="H15" s="64">
        <f>(1+'Е1.2.1 - 1.2.3'!$C$6)^($H$6-H6)</f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5" customHeight="1" x14ac:dyDescent="0.3">
      <c r="A16" s="81" t="s">
        <v>318</v>
      </c>
      <c r="B16" s="104" t="s">
        <v>315</v>
      </c>
      <c r="C16" s="76">
        <f>SUM(D16:H16)</f>
        <v>5384861.8422033302</v>
      </c>
      <c r="D16" s="76">
        <f>D15*D7</f>
        <v>125811.66480637185</v>
      </c>
      <c r="E16" s="76">
        <f>E15*E7</f>
        <v>2768095.7866419642</v>
      </c>
      <c r="F16" s="76">
        <f>F15*F7</f>
        <v>2490954.3907549935</v>
      </c>
      <c r="G16" s="76">
        <f>G15*G7</f>
        <v>0</v>
      </c>
      <c r="H16" s="76">
        <f>H15*H7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" customHeight="1" x14ac:dyDescent="0.3">
      <c r="A17" s="81" t="s">
        <v>319</v>
      </c>
      <c r="B17" s="104" t="s">
        <v>316</v>
      </c>
      <c r="C17" s="54"/>
      <c r="D17" s="75">
        <f>D16</f>
        <v>125811.66480637185</v>
      </c>
      <c r="E17" s="75">
        <f>D17+E16</f>
        <v>2893907.4514483362</v>
      </c>
      <c r="F17" s="75">
        <f>E17+F16</f>
        <v>5384861.8422033302</v>
      </c>
      <c r="G17" s="75">
        <f>F17+G16</f>
        <v>5384861.8422033302</v>
      </c>
      <c r="H17" s="75">
        <f>G17+H16</f>
        <v>5384861.8422033302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26" t="s">
        <v>225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95" t="s">
        <v>324</v>
      </c>
      <c r="B21" s="196"/>
      <c r="C21" s="196"/>
      <c r="D21" s="196"/>
      <c r="E21" s="196"/>
      <c r="F21" s="196"/>
      <c r="G21" s="196"/>
      <c r="H21" s="19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97" t="s">
        <v>37</v>
      </c>
      <c r="B23" s="188" t="s">
        <v>108</v>
      </c>
      <c r="C23" s="192" t="s">
        <v>553</v>
      </c>
      <c r="D23" s="201" t="s">
        <v>64</v>
      </c>
      <c r="E23" s="234"/>
      <c r="F23" s="234"/>
      <c r="G23" s="234"/>
      <c r="H23" s="23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94"/>
      <c r="B24" s="194"/>
      <c r="C24" s="194"/>
      <c r="D24" s="4">
        <v>1</v>
      </c>
      <c r="E24" s="4">
        <v>2</v>
      </c>
      <c r="F24" s="4">
        <v>3</v>
      </c>
      <c r="G24" s="4">
        <v>4</v>
      </c>
      <c r="H24" s="4">
        <v>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7" t="s">
        <v>97</v>
      </c>
      <c r="B25" s="104" t="s">
        <v>274</v>
      </c>
      <c r="C25" s="76">
        <f>SUM(D25:H25)</f>
        <v>8804836.464999998</v>
      </c>
      <c r="D25" s="41">
        <f>'Е1.1.1 и 1.1.2'!D32</f>
        <v>9644389.0649999995</v>
      </c>
      <c r="E25" s="41">
        <f>'Е1.1.1 и 1.1.2'!E32</f>
        <v>-475111.3</v>
      </c>
      <c r="F25" s="41">
        <f>'Е1.1.1 и 1.1.2'!F32</f>
        <v>-364441.3</v>
      </c>
      <c r="G25" s="41">
        <f>'Е1.1.1 и 1.1.2'!S32</f>
        <v>0</v>
      </c>
      <c r="H25" s="41">
        <f>'Е1.1.1 и 1.1.2'!T32</f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" customHeight="1" x14ac:dyDescent="0.35">
      <c r="A26" s="7" t="s">
        <v>101</v>
      </c>
      <c r="B26" s="104" t="s">
        <v>287</v>
      </c>
      <c r="C26" s="41"/>
      <c r="D26" s="41">
        <f>'Е1.1.1 и 1.1.2'!D33</f>
        <v>9644389.0649999995</v>
      </c>
      <c r="E26" s="41">
        <f>'Е1.1.1 и 1.1.2'!Q33</f>
        <v>24410708.685000002</v>
      </c>
      <c r="F26" s="41">
        <f>'Е1.1.1 и 1.1.2'!R33</f>
        <v>39177028.305000007</v>
      </c>
      <c r="G26" s="41">
        <f>'Е1.1.1 и 1.1.2'!S33</f>
        <v>0</v>
      </c>
      <c r="H26" s="41">
        <f>'Е1.1.1 и 1.1.2'!T33</f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" x14ac:dyDescent="0.25">
      <c r="A27" s="10" t="s">
        <v>102</v>
      </c>
      <c r="B27" s="144" t="s">
        <v>275</v>
      </c>
      <c r="C27" s="41"/>
      <c r="D27" s="64">
        <f>'Е1.2.1 - 1.2.3'!C20</f>
        <v>1</v>
      </c>
      <c r="E27" s="64">
        <f>'Е1.2.1 - 1.2.3'!D20</f>
        <v>0.89988012798387407</v>
      </c>
      <c r="F27" s="64">
        <f>'Е1.2.1 - 1.2.3'!E20</f>
        <v>0.80978424474027355</v>
      </c>
      <c r="G27" s="64">
        <f>'Е1.2.1 - 1.2.3'!F20</f>
        <v>0.72870874979620215</v>
      </c>
      <c r="H27" s="64">
        <f>'Е1.2.1 - 1.2.3'!G20</f>
        <v>0.65575052302957526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customHeight="1" x14ac:dyDescent="0.3">
      <c r="A28" s="16" t="s">
        <v>103</v>
      </c>
      <c r="B28" s="104" t="s">
        <v>288</v>
      </c>
      <c r="C28" s="40">
        <f>SUM(D28:H28)</f>
        <v>8921727.0246767513</v>
      </c>
      <c r="D28" s="40">
        <f>D27*D25</f>
        <v>9644389.0649999995</v>
      </c>
      <c r="E28" s="40">
        <f>E27*E25</f>
        <v>-427543.21745058475</v>
      </c>
      <c r="F28" s="40">
        <f>F27*F25</f>
        <v>-295118.82287266344</v>
      </c>
      <c r="G28" s="40">
        <f>G27*G25</f>
        <v>0</v>
      </c>
      <c r="H28" s="40">
        <f>H27*H25</f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7.25" customHeight="1" x14ac:dyDescent="0.3">
      <c r="A29" s="16" t="s">
        <v>104</v>
      </c>
      <c r="B29" s="104" t="s">
        <v>289</v>
      </c>
      <c r="C29" s="39"/>
      <c r="D29" s="39">
        <f>D28</f>
        <v>9644389.0649999995</v>
      </c>
      <c r="E29" s="39">
        <f>D29+E28</f>
        <v>9216845.8475494143</v>
      </c>
      <c r="F29" s="39">
        <f>E29+F28</f>
        <v>8921727.0246767513</v>
      </c>
      <c r="G29" s="39">
        <f>F29+G28</f>
        <v>8921727.0246767513</v>
      </c>
      <c r="H29" s="39">
        <f>G29+H28</f>
        <v>8921727.0246767513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7.25" customHeight="1" x14ac:dyDescent="0.25">
      <c r="A30" s="10" t="s">
        <v>320</v>
      </c>
      <c r="B30" s="144" t="s">
        <v>314</v>
      </c>
      <c r="C30" s="41"/>
      <c r="D30" s="64">
        <f>(1+'Е1.2.1 - 1.2.3'!$C$6)^($H$6-D24)</f>
        <v>1.5249701904620496</v>
      </c>
      <c r="E30" s="64">
        <f>(1+'Е1.2.1 - 1.2.3'!$C$6)^($H$6-E24)</f>
        <v>1.3722903701645819</v>
      </c>
      <c r="F30" s="64">
        <f>(1+'Е1.2.1 - 1.2.3'!$C$6)^($H$6-F24)</f>
        <v>1.2348968339347419</v>
      </c>
      <c r="G30" s="64">
        <f>(1+'Е1.2.1 - 1.2.3'!$C$6)^($H$6-G24)</f>
        <v>1.1112591209680764</v>
      </c>
      <c r="H30" s="64">
        <f>(1+'Е1.2.1 - 1.2.3'!$C$6)^($H$6-H24)</f>
        <v>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7.25" customHeight="1" x14ac:dyDescent="0.3">
      <c r="A31" s="81" t="s">
        <v>321</v>
      </c>
      <c r="B31" s="104" t="s">
        <v>315</v>
      </c>
      <c r="C31" s="76">
        <f>SUM(D31:H31)</f>
        <v>13605367.760071723</v>
      </c>
      <c r="D31" s="76">
        <f>D30*D25</f>
        <v>14707405.829343159</v>
      </c>
      <c r="E31" s="76">
        <f>E30*E25</f>
        <v>-651990.66174637573</v>
      </c>
      <c r="F31" s="76">
        <f>F30*F25</f>
        <v>-450047.40752506146</v>
      </c>
      <c r="G31" s="76">
        <f>G30*G25</f>
        <v>0</v>
      </c>
      <c r="H31" s="76">
        <f>H30*H25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7.25" customHeight="1" x14ac:dyDescent="0.3">
      <c r="A32" s="81" t="s">
        <v>322</v>
      </c>
      <c r="B32" s="104" t="s">
        <v>316</v>
      </c>
      <c r="C32" s="54"/>
      <c r="D32" s="75">
        <f>D31</f>
        <v>14707405.829343159</v>
      </c>
      <c r="E32" s="75">
        <f>D32+E31</f>
        <v>14055415.167596783</v>
      </c>
      <c r="F32" s="75">
        <f>E32+F31</f>
        <v>13605367.760071723</v>
      </c>
      <c r="G32" s="75">
        <f>F32+G31</f>
        <v>13605367.760071723</v>
      </c>
      <c r="H32" s="75">
        <f>G32+H31</f>
        <v>13605367.760071723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63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63" ht="15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6" t="s">
        <v>226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63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63" ht="16.5" x14ac:dyDescent="0.25">
      <c r="A36" s="195" t="s">
        <v>157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63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63" ht="18.75" customHeight="1" x14ac:dyDescent="0.25">
      <c r="A38" s="197" t="s">
        <v>37</v>
      </c>
      <c r="B38" s="188" t="s">
        <v>453</v>
      </c>
      <c r="C38" s="192" t="s">
        <v>145</v>
      </c>
      <c r="D38" s="201" t="s">
        <v>31</v>
      </c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5"/>
      <c r="P38" s="201" t="s">
        <v>147</v>
      </c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5"/>
      <c r="AB38" s="201" t="s">
        <v>148</v>
      </c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5"/>
      <c r="AN38" s="201" t="s">
        <v>149</v>
      </c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5"/>
      <c r="AZ38" s="201" t="s">
        <v>150</v>
      </c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5"/>
    </row>
    <row r="39" spans="1:63" ht="18.75" customHeight="1" x14ac:dyDescent="0.25">
      <c r="A39" s="194"/>
      <c r="B39" s="194"/>
      <c r="C39" s="194"/>
      <c r="D39" s="90" t="s">
        <v>39</v>
      </c>
      <c r="E39" s="90" t="s">
        <v>40</v>
      </c>
      <c r="F39" s="90" t="s">
        <v>41</v>
      </c>
      <c r="G39" s="90" t="s">
        <v>42</v>
      </c>
      <c r="H39" s="90" t="s">
        <v>43</v>
      </c>
      <c r="I39" s="90" t="s">
        <v>44</v>
      </c>
      <c r="J39" s="90" t="s">
        <v>45</v>
      </c>
      <c r="K39" s="90" t="s">
        <v>46</v>
      </c>
      <c r="L39" s="90" t="s">
        <v>47</v>
      </c>
      <c r="M39" s="90" t="s">
        <v>48</v>
      </c>
      <c r="N39" s="90" t="s">
        <v>49</v>
      </c>
      <c r="O39" s="91" t="s">
        <v>50</v>
      </c>
      <c r="P39" s="52">
        <v>1</v>
      </c>
      <c r="Q39" s="52">
        <v>2</v>
      </c>
      <c r="R39" s="52">
        <v>3</v>
      </c>
      <c r="S39" s="52">
        <v>4</v>
      </c>
      <c r="T39" s="52">
        <v>5</v>
      </c>
      <c r="U39" s="52">
        <v>6</v>
      </c>
      <c r="V39" s="52">
        <v>7</v>
      </c>
      <c r="W39" s="52">
        <v>8</v>
      </c>
      <c r="X39" s="52">
        <v>9</v>
      </c>
      <c r="Y39" s="52">
        <v>10</v>
      </c>
      <c r="Z39" s="52">
        <v>11</v>
      </c>
      <c r="AA39" s="52">
        <v>12</v>
      </c>
      <c r="AB39" s="52">
        <v>1</v>
      </c>
      <c r="AC39" s="52">
        <v>2</v>
      </c>
      <c r="AD39" s="52">
        <v>3</v>
      </c>
      <c r="AE39" s="52">
        <v>4</v>
      </c>
      <c r="AF39" s="52">
        <v>5</v>
      </c>
      <c r="AG39" s="52">
        <v>6</v>
      </c>
      <c r="AH39" s="52">
        <v>7</v>
      </c>
      <c r="AI39" s="52">
        <v>8</v>
      </c>
      <c r="AJ39" s="52">
        <v>9</v>
      </c>
      <c r="AK39" s="52">
        <v>10</v>
      </c>
      <c r="AL39" s="52">
        <v>11</v>
      </c>
      <c r="AM39" s="52">
        <v>12</v>
      </c>
      <c r="AN39" s="52">
        <v>1</v>
      </c>
      <c r="AO39" s="52">
        <v>2</v>
      </c>
      <c r="AP39" s="52">
        <v>3</v>
      </c>
      <c r="AQ39" s="52">
        <v>4</v>
      </c>
      <c r="AR39" s="52">
        <v>5</v>
      </c>
      <c r="AS39" s="52">
        <v>6</v>
      </c>
      <c r="AT39" s="52">
        <v>7</v>
      </c>
      <c r="AU39" s="52">
        <v>8</v>
      </c>
      <c r="AV39" s="52">
        <v>9</v>
      </c>
      <c r="AW39" s="52">
        <v>10</v>
      </c>
      <c r="AX39" s="52">
        <v>11</v>
      </c>
      <c r="AY39" s="52">
        <v>12</v>
      </c>
      <c r="AZ39" s="52">
        <v>1</v>
      </c>
      <c r="BA39" s="52">
        <v>2</v>
      </c>
      <c r="BB39" s="52">
        <v>3</v>
      </c>
      <c r="BC39" s="52">
        <v>4</v>
      </c>
      <c r="BD39" s="52">
        <v>5</v>
      </c>
      <c r="BE39" s="52">
        <v>6</v>
      </c>
      <c r="BF39" s="52">
        <v>7</v>
      </c>
      <c r="BG39" s="52">
        <v>8</v>
      </c>
      <c r="BH39" s="52">
        <v>9</v>
      </c>
      <c r="BI39" s="52">
        <v>10</v>
      </c>
      <c r="BJ39" s="52">
        <v>11</v>
      </c>
      <c r="BK39" s="52">
        <v>12</v>
      </c>
    </row>
    <row r="40" spans="1:63" ht="25.5" customHeight="1" x14ac:dyDescent="0.35">
      <c r="A40" s="7" t="s">
        <v>97</v>
      </c>
      <c r="B40" s="104" t="s">
        <v>274</v>
      </c>
      <c r="C40" s="76">
        <f>SUM(D40:O40)</f>
        <v>82501.06500000009</v>
      </c>
      <c r="D40" s="76">
        <f>'Е1.1.1 и 1.1.2'!E12</f>
        <v>-475111.3</v>
      </c>
      <c r="E40" s="76">
        <f>'Е1.1.1 и 1.1.2'!F12</f>
        <v>-364441.3</v>
      </c>
      <c r="F40" s="76">
        <f>'Е1.1.1 и 1.1.2'!G12</f>
        <v>-585781.30000000005</v>
      </c>
      <c r="G40" s="76">
        <f>'Е1.1.1 и 1.1.2'!H12</f>
        <v>169766.88499999998</v>
      </c>
      <c r="H40" s="76">
        <f>'Е1.1.1 и 1.1.2'!I12</f>
        <v>169766.88499999998</v>
      </c>
      <c r="I40" s="76">
        <f>'Е1.1.1 и 1.1.2'!J12</f>
        <v>167000.13499999998</v>
      </c>
      <c r="J40" s="76">
        <f>'Е1.1.1 и 1.1.2'!K12</f>
        <v>169766.88499999998</v>
      </c>
      <c r="K40" s="76">
        <f>'Е1.1.1 и 1.1.2'!L12</f>
        <v>169766.88499999998</v>
      </c>
      <c r="L40" s="76">
        <f>'Е1.1.1 и 1.1.2'!M12</f>
        <v>167000.13499999998</v>
      </c>
      <c r="M40" s="76">
        <f>'Е1.1.1 и 1.1.2'!N12</f>
        <v>169766.88499999998</v>
      </c>
      <c r="N40" s="76">
        <f>'Е1.1.1 и 1.1.2'!O12</f>
        <v>169766.88499999998</v>
      </c>
      <c r="O40" s="76">
        <f>'Е1.1.1 и 1.1.2'!P12</f>
        <v>155233.38499999998</v>
      </c>
      <c r="P40" s="41">
        <f>$E$7/12</f>
        <v>168094.63500000004</v>
      </c>
      <c r="Q40" s="41">
        <f t="shared" ref="Q40:AA40" si="0">$E$7/12</f>
        <v>168094.63500000004</v>
      </c>
      <c r="R40" s="41">
        <f t="shared" si="0"/>
        <v>168094.63500000004</v>
      </c>
      <c r="S40" s="41">
        <f t="shared" si="0"/>
        <v>168094.63500000004</v>
      </c>
      <c r="T40" s="41">
        <f t="shared" si="0"/>
        <v>168094.63500000004</v>
      </c>
      <c r="U40" s="41">
        <f t="shared" si="0"/>
        <v>168094.63500000004</v>
      </c>
      <c r="V40" s="41">
        <f t="shared" si="0"/>
        <v>168094.63500000004</v>
      </c>
      <c r="W40" s="41">
        <f t="shared" si="0"/>
        <v>168094.63500000004</v>
      </c>
      <c r="X40" s="41">
        <f t="shared" si="0"/>
        <v>168094.63500000004</v>
      </c>
      <c r="Y40" s="41">
        <f t="shared" si="0"/>
        <v>168094.63500000004</v>
      </c>
      <c r="Z40" s="41">
        <f t="shared" si="0"/>
        <v>168094.63500000004</v>
      </c>
      <c r="AA40" s="41">
        <f t="shared" si="0"/>
        <v>168094.63500000004</v>
      </c>
      <c r="AB40" s="41">
        <f>$F$7/12</f>
        <v>168094.63500000004</v>
      </c>
      <c r="AC40" s="41">
        <f t="shared" ref="AC40:AM40" si="1">$F$7/12</f>
        <v>168094.63500000004</v>
      </c>
      <c r="AD40" s="41">
        <f t="shared" si="1"/>
        <v>168094.63500000004</v>
      </c>
      <c r="AE40" s="41">
        <f t="shared" si="1"/>
        <v>168094.63500000004</v>
      </c>
      <c r="AF40" s="41">
        <f t="shared" si="1"/>
        <v>168094.63500000004</v>
      </c>
      <c r="AG40" s="41">
        <f t="shared" si="1"/>
        <v>168094.63500000004</v>
      </c>
      <c r="AH40" s="41">
        <f t="shared" si="1"/>
        <v>168094.63500000004</v>
      </c>
      <c r="AI40" s="41">
        <f t="shared" si="1"/>
        <v>168094.63500000004</v>
      </c>
      <c r="AJ40" s="41">
        <f t="shared" si="1"/>
        <v>168094.63500000004</v>
      </c>
      <c r="AK40" s="41">
        <f t="shared" si="1"/>
        <v>168094.63500000004</v>
      </c>
      <c r="AL40" s="41">
        <f t="shared" si="1"/>
        <v>168094.63500000004</v>
      </c>
      <c r="AM40" s="41">
        <f t="shared" si="1"/>
        <v>168094.63500000004</v>
      </c>
      <c r="AN40" s="41">
        <f>$G$7/12</f>
        <v>0</v>
      </c>
      <c r="AO40" s="41">
        <f t="shared" ref="AO40:AY40" si="2">$G$7/12</f>
        <v>0</v>
      </c>
      <c r="AP40" s="41">
        <f t="shared" si="2"/>
        <v>0</v>
      </c>
      <c r="AQ40" s="41">
        <f t="shared" si="2"/>
        <v>0</v>
      </c>
      <c r="AR40" s="41">
        <f t="shared" si="2"/>
        <v>0</v>
      </c>
      <c r="AS40" s="41">
        <f t="shared" si="2"/>
        <v>0</v>
      </c>
      <c r="AT40" s="41">
        <f t="shared" si="2"/>
        <v>0</v>
      </c>
      <c r="AU40" s="41">
        <f t="shared" si="2"/>
        <v>0</v>
      </c>
      <c r="AV40" s="41">
        <f t="shared" si="2"/>
        <v>0</v>
      </c>
      <c r="AW40" s="41">
        <f t="shared" si="2"/>
        <v>0</v>
      </c>
      <c r="AX40" s="41">
        <f t="shared" si="2"/>
        <v>0</v>
      </c>
      <c r="AY40" s="41">
        <f t="shared" si="2"/>
        <v>0</v>
      </c>
      <c r="AZ40" s="41">
        <f>$H$7/12</f>
        <v>0</v>
      </c>
      <c r="BA40" s="41">
        <f t="shared" ref="BA40:BK40" si="3">$H$7/12</f>
        <v>0</v>
      </c>
      <c r="BB40" s="41">
        <f t="shared" si="3"/>
        <v>0</v>
      </c>
      <c r="BC40" s="41">
        <f t="shared" si="3"/>
        <v>0</v>
      </c>
      <c r="BD40" s="41">
        <f t="shared" si="3"/>
        <v>0</v>
      </c>
      <c r="BE40" s="41">
        <f t="shared" si="3"/>
        <v>0</v>
      </c>
      <c r="BF40" s="41">
        <f t="shared" si="3"/>
        <v>0</v>
      </c>
      <c r="BG40" s="41">
        <f t="shared" si="3"/>
        <v>0</v>
      </c>
      <c r="BH40" s="41">
        <f t="shared" si="3"/>
        <v>0</v>
      </c>
      <c r="BI40" s="41">
        <f t="shared" si="3"/>
        <v>0</v>
      </c>
      <c r="BJ40" s="41">
        <f t="shared" si="3"/>
        <v>0</v>
      </c>
      <c r="BK40" s="41">
        <f t="shared" si="3"/>
        <v>0</v>
      </c>
    </row>
    <row r="41" spans="1:63" ht="17.5" x14ac:dyDescent="0.35">
      <c r="A41" s="7" t="s">
        <v>101</v>
      </c>
      <c r="B41" s="104" t="s">
        <v>287</v>
      </c>
      <c r="C41" s="76"/>
      <c r="D41" s="76">
        <f>D40</f>
        <v>-475111.3</v>
      </c>
      <c r="E41" s="76">
        <f>E40+D41</f>
        <v>-839552.6</v>
      </c>
      <c r="F41" s="76">
        <f>F40+E41</f>
        <v>-1425333.9</v>
      </c>
      <c r="G41" s="76">
        <f>G40+F41</f>
        <v>-1255567.0149999999</v>
      </c>
      <c r="H41" s="76">
        <f>H40+G41</f>
        <v>-1085800.1299999999</v>
      </c>
      <c r="I41" s="76">
        <f t="shared" ref="I41:O41" si="4">I40+H41</f>
        <v>-918799.99499999988</v>
      </c>
      <c r="J41" s="76">
        <f t="shared" si="4"/>
        <v>-749033.10999999987</v>
      </c>
      <c r="K41" s="76">
        <f t="shared" si="4"/>
        <v>-579266.22499999986</v>
      </c>
      <c r="L41" s="76">
        <f t="shared" si="4"/>
        <v>-412266.08999999985</v>
      </c>
      <c r="M41" s="76">
        <f t="shared" si="4"/>
        <v>-242499.20499999987</v>
      </c>
      <c r="N41" s="76">
        <f t="shared" si="4"/>
        <v>-72732.319999999891</v>
      </c>
      <c r="O41" s="76">
        <f t="shared" si="4"/>
        <v>82501.06500000009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63" ht="36" customHeight="1" x14ac:dyDescent="0.25">
      <c r="A42" s="10" t="s">
        <v>278</v>
      </c>
      <c r="B42" s="144" t="s">
        <v>293</v>
      </c>
      <c r="C42" s="41"/>
      <c r="D42" s="64">
        <f>'Е1.2.1 - 1.2.3'!C30</f>
        <v>1</v>
      </c>
      <c r="E42" s="64">
        <f>'Е1.2.1 - 1.2.3'!D30</f>
        <v>0.99081357934325298</v>
      </c>
      <c r="F42" s="64">
        <f>'Е1.2.1 - 1.2.3'!E30</f>
        <v>0.98171154901098856</v>
      </c>
      <c r="G42" s="64">
        <f>'Е1.2.1 - 1.2.3'!F30</f>
        <v>0.97269313375818689</v>
      </c>
      <c r="H42" s="64">
        <f>'Е1.2.1 - 1.2.3'!G30</f>
        <v>0.96375756546155478</v>
      </c>
      <c r="I42" s="64">
        <f>'Е1.2.1 - 1.2.3'!H30</f>
        <v>0.95490408305410246</v>
      </c>
      <c r="J42" s="64">
        <f>'Е1.2.1 - 1.2.3'!I30</f>
        <v>0.94613193246032223</v>
      </c>
      <c r="K42" s="64">
        <f>'Е1.2.1 - 1.2.3'!J30</f>
        <v>0.93744036653196061</v>
      </c>
      <c r="L42" s="64">
        <f>'Е1.2.1 - 1.2.3'!K30</f>
        <v>0.92882864498438311</v>
      </c>
      <c r="M42" s="64">
        <f>'Е1.2.1 - 1.2.3'!L30</f>
        <v>0.92029603433352014</v>
      </c>
      <c r="N42" s="64">
        <f>'Е1.2.1 - 1.2.3'!M30</f>
        <v>0.91184180783339641</v>
      </c>
      <c r="O42" s="64">
        <f>'Е1.2.1 - 1.2.3'!N30</f>
        <v>0.90346524541423001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63" ht="17.5" x14ac:dyDescent="0.3">
      <c r="A43" s="81" t="s">
        <v>103</v>
      </c>
      <c r="B43" s="104" t="s">
        <v>288</v>
      </c>
      <c r="C43" s="40">
        <f>SUM(D43:O43)</f>
        <v>3108.3712337880279</v>
      </c>
      <c r="D43" s="76">
        <f>D42*D40</f>
        <v>-475111.3</v>
      </c>
      <c r="E43" s="76">
        <f>E42*E40</f>
        <v>-361093.38891350827</v>
      </c>
      <c r="F43" s="76">
        <f>F42*F40</f>
        <v>-575068.26740467059</v>
      </c>
      <c r="G43" s="76">
        <f>G42*G40</f>
        <v>165131.0833790157</v>
      </c>
      <c r="H43" s="76">
        <f>H42*H40</f>
        <v>163614.11978359171</v>
      </c>
      <c r="I43" s="76">
        <f t="shared" ref="I43:O43" si="5">I42*I40</f>
        <v>159469.1107820863</v>
      </c>
      <c r="J43" s="76">
        <f t="shared" si="5"/>
        <v>160621.87097281928</v>
      </c>
      <c r="K43" s="76">
        <f t="shared" si="5"/>
        <v>159146.3308993892</v>
      </c>
      <c r="L43" s="76">
        <f t="shared" si="5"/>
        <v>155114.50910425902</v>
      </c>
      <c r="M43" s="76">
        <f t="shared" si="5"/>
        <v>156235.79102665474</v>
      </c>
      <c r="N43" s="76">
        <f t="shared" si="5"/>
        <v>154800.5433286443</v>
      </c>
      <c r="O43" s="76">
        <f t="shared" si="5"/>
        <v>140247.96827550663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63" ht="30" x14ac:dyDescent="0.3">
      <c r="A44" s="81" t="s">
        <v>104</v>
      </c>
      <c r="B44" s="104" t="s">
        <v>289</v>
      </c>
      <c r="C44" s="54"/>
      <c r="D44" s="75">
        <f>D43</f>
        <v>-475111.3</v>
      </c>
      <c r="E44" s="75">
        <f>D44+E43</f>
        <v>-836204.68891350832</v>
      </c>
      <c r="F44" s="75">
        <f>E44+F43</f>
        <v>-1411272.9563181789</v>
      </c>
      <c r="G44" s="75">
        <f>F44+G43</f>
        <v>-1246141.8729391631</v>
      </c>
      <c r="H44" s="75">
        <f>G44+H43</f>
        <v>-1082527.7531555714</v>
      </c>
      <c r="I44" s="75">
        <f t="shared" ref="I44:O44" si="6">H44+I43</f>
        <v>-923058.64237348514</v>
      </c>
      <c r="J44" s="75">
        <f t="shared" si="6"/>
        <v>-762436.77140066586</v>
      </c>
      <c r="K44" s="75">
        <f t="shared" si="6"/>
        <v>-603290.44050127664</v>
      </c>
      <c r="L44" s="75">
        <f t="shared" si="6"/>
        <v>-448175.93139701762</v>
      </c>
      <c r="M44" s="75">
        <f t="shared" si="6"/>
        <v>-291940.1403703629</v>
      </c>
      <c r="N44" s="75">
        <f t="shared" si="6"/>
        <v>-137139.5970417186</v>
      </c>
      <c r="O44" s="75">
        <f t="shared" si="6"/>
        <v>3108.3712337880279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63" ht="31" x14ac:dyDescent="0.25">
      <c r="A45" s="10" t="s">
        <v>105</v>
      </c>
      <c r="B45" s="104" t="s">
        <v>290</v>
      </c>
      <c r="C45" s="41">
        <f>SUM(D45:O45)</f>
        <v>1838414.6276672378</v>
      </c>
      <c r="D45" s="41">
        <f>('Е1.1.1 и 1.1.2'!E8+'Е1.1.1 и 1.1.2'!E9)*D42</f>
        <v>0</v>
      </c>
      <c r="E45" s="41">
        <f>('Е1.1.1 и 1.1.2'!F8+'Е1.1.1 и 1.1.2'!F9)*E42</f>
        <v>0</v>
      </c>
      <c r="F45" s="41">
        <f>('Е1.1.1 и 1.1.2'!G8+'Е1.1.1 и 1.1.2'!G9)*F42</f>
        <v>0</v>
      </c>
      <c r="G45" s="41">
        <f>('Е1.1.1 и 1.1.2'!H8+'Е1.1.1 и 1.1.2'!H9)*G42</f>
        <v>211889.70925157849</v>
      </c>
      <c r="H45" s="41">
        <f>('Е1.1.1 и 1.1.2'!I8+'Е1.1.1 и 1.1.2'!I9)*H42</f>
        <v>209943.20124955769</v>
      </c>
      <c r="I45" s="41">
        <f>('Е1.1.1 и 1.1.2'!J8+'Е1.1.1 и 1.1.2'!J9)*I42</f>
        <v>208014.57468885515</v>
      </c>
      <c r="J45" s="41">
        <f>('Е1.1.1 и 1.1.2'!K8+'Е1.1.1 и 1.1.2'!K9)*J42</f>
        <v>206103.665303029</v>
      </c>
      <c r="K45" s="41">
        <f>('Е1.1.1 и 1.1.2'!L8+'Е1.1.1 и 1.1.2'!L9)*K42</f>
        <v>204210.31033465796</v>
      </c>
      <c r="L45" s="41">
        <f>('Е1.1.1 и 1.1.2'!M8+'Е1.1.1 и 1.1.2'!M9)*L42</f>
        <v>202334.34852147897</v>
      </c>
      <c r="M45" s="41">
        <f>('Е1.1.1 и 1.1.2'!N8+'Е1.1.1 и 1.1.2'!N9)*M42</f>
        <v>200475.62008265179</v>
      </c>
      <c r="N45" s="41">
        <f>('Е1.1.1 и 1.1.2'!O8+'Е1.1.1 и 1.1.2'!O9)*N42</f>
        <v>198633.96670515038</v>
      </c>
      <c r="O45" s="41">
        <f>('Е1.1.1 и 1.1.2'!P8+'Е1.1.1 и 1.1.2'!P9)*O42</f>
        <v>196809.23153027854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63" ht="31" x14ac:dyDescent="0.35">
      <c r="A46" s="7" t="s">
        <v>106</v>
      </c>
      <c r="B46" s="104" t="s">
        <v>291</v>
      </c>
      <c r="C46" s="41">
        <f>SUM(D46:O46)</f>
        <v>424033.30011527112</v>
      </c>
      <c r="D46" s="41">
        <f>D42*'Е1.1.1 и 1.1.2'!E11</f>
        <v>0</v>
      </c>
      <c r="E46" s="41">
        <f>E42*'Е1.1.1 и 1.1.2'!F11</f>
        <v>0</v>
      </c>
      <c r="F46" s="41">
        <f>F42*'Е1.1.1 и 1.1.2'!G11</f>
        <v>0</v>
      </c>
      <c r="G46" s="41">
        <f>G42*'Е1.1.1 и 1.1.2'!H11</f>
        <v>46758.625872562785</v>
      </c>
      <c r="H46" s="41">
        <f>H42*'Е1.1.1 и 1.1.2'!I11</f>
        <v>46329.081465965974</v>
      </c>
      <c r="I46" s="41">
        <f>I42*'Е1.1.1 и 1.1.2'!J11</f>
        <v>48545.46390676884</v>
      </c>
      <c r="J46" s="41">
        <f>J42*'Е1.1.1 и 1.1.2'!K11</f>
        <v>45481.794330209741</v>
      </c>
      <c r="K46" s="41">
        <f>K42*'Е1.1.1 и 1.1.2'!L11</f>
        <v>45063.979435268775</v>
      </c>
      <c r="L46" s="41">
        <f>L42*'Е1.1.1 и 1.1.2'!M11</f>
        <v>47219.839417219948</v>
      </c>
      <c r="M46" s="41">
        <f>M42*'Е1.1.1 и 1.1.2'!N11</f>
        <v>44239.829055997048</v>
      </c>
      <c r="N46" s="41">
        <f>N42*'Е1.1.1 и 1.1.2'!O11</f>
        <v>43833.423376506085</v>
      </c>
      <c r="O46" s="41">
        <f>O42*'Е1.1.1 и 1.1.2'!P11</f>
        <v>56561.263254771919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63" ht="36" customHeight="1" x14ac:dyDescent="0.35">
      <c r="A47" s="7" t="s">
        <v>107</v>
      </c>
      <c r="B47" s="104" t="s">
        <v>292</v>
      </c>
      <c r="C47" s="41">
        <f>SUM(D47:O47)</f>
        <v>1411272.9563181789</v>
      </c>
      <c r="D47" s="41">
        <f>D42*'В1.1.1'!D7</f>
        <v>475111.3</v>
      </c>
      <c r="E47" s="41">
        <f>E42*'В1.1.1'!E7</f>
        <v>361093.38891350827</v>
      </c>
      <c r="F47" s="41">
        <f>F42*'В1.1.1'!F7</f>
        <v>575068.26740467059</v>
      </c>
      <c r="G47" s="41">
        <f>G42*'В1.1.1'!G7</f>
        <v>0</v>
      </c>
      <c r="H47" s="41">
        <f>H42*'В1.1.1'!H7</f>
        <v>0</v>
      </c>
      <c r="I47" s="41">
        <f>I42*'В1.1.1'!I7</f>
        <v>0</v>
      </c>
      <c r="J47" s="41">
        <f>J42*'В1.1.1'!J7</f>
        <v>0</v>
      </c>
      <c r="K47" s="41">
        <f>K42*'В1.1.1'!K7</f>
        <v>0</v>
      </c>
      <c r="L47" s="41">
        <f>L42*'В1.1.1'!L7</f>
        <v>0</v>
      </c>
      <c r="M47" s="41">
        <f>M42*'В1.1.1'!M7</f>
        <v>0</v>
      </c>
      <c r="N47" s="41">
        <f>N42*'В1.1.1'!N7</f>
        <v>0</v>
      </c>
      <c r="O47" s="41">
        <f>O42*'В1.1.1'!O7</f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63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63" ht="15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6" t="s">
        <v>227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63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63" ht="20.25" customHeight="1" x14ac:dyDescent="0.25">
      <c r="A51" s="195" t="s">
        <v>163</v>
      </c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63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 t="s">
        <v>146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63" ht="21" customHeight="1" x14ac:dyDescent="0.25">
      <c r="A53" s="197" t="s">
        <v>37</v>
      </c>
      <c r="B53" s="188" t="s">
        <v>109</v>
      </c>
      <c r="C53" s="192" t="s">
        <v>145</v>
      </c>
      <c r="D53" s="201" t="s">
        <v>31</v>
      </c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5"/>
      <c r="P53" s="201" t="s">
        <v>147</v>
      </c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5"/>
      <c r="AB53" s="201" t="s">
        <v>148</v>
      </c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5"/>
      <c r="AN53" s="201" t="s">
        <v>149</v>
      </c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5"/>
      <c r="AZ53" s="201" t="s">
        <v>150</v>
      </c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5"/>
    </row>
    <row r="54" spans="1:63" ht="21" customHeight="1" x14ac:dyDescent="0.25">
      <c r="A54" s="194"/>
      <c r="B54" s="194"/>
      <c r="C54" s="194"/>
      <c r="D54" s="90" t="s">
        <v>39</v>
      </c>
      <c r="E54" s="90" t="s">
        <v>40</v>
      </c>
      <c r="F54" s="90" t="s">
        <v>41</v>
      </c>
      <c r="G54" s="90" t="s">
        <v>42</v>
      </c>
      <c r="H54" s="90" t="s">
        <v>43</v>
      </c>
      <c r="I54" s="90" t="s">
        <v>44</v>
      </c>
      <c r="J54" s="90" t="s">
        <v>45</v>
      </c>
      <c r="K54" s="90" t="s">
        <v>46</v>
      </c>
      <c r="L54" s="90" t="s">
        <v>47</v>
      </c>
      <c r="M54" s="90" t="s">
        <v>48</v>
      </c>
      <c r="N54" s="90" t="s">
        <v>49</v>
      </c>
      <c r="O54" s="91" t="s">
        <v>50</v>
      </c>
      <c r="P54" s="52">
        <v>1</v>
      </c>
      <c r="Q54" s="52">
        <v>2</v>
      </c>
      <c r="R54" s="52">
        <v>3</v>
      </c>
      <c r="S54" s="52">
        <v>4</v>
      </c>
      <c r="T54" s="52">
        <v>5</v>
      </c>
      <c r="U54" s="52">
        <v>6</v>
      </c>
      <c r="V54" s="52">
        <v>7</v>
      </c>
      <c r="W54" s="52">
        <v>8</v>
      </c>
      <c r="X54" s="52">
        <v>9</v>
      </c>
      <c r="Y54" s="52">
        <v>10</v>
      </c>
      <c r="Z54" s="52">
        <v>11</v>
      </c>
      <c r="AA54" s="52">
        <v>12</v>
      </c>
      <c r="AB54" s="52">
        <v>1</v>
      </c>
      <c r="AC54" s="52">
        <v>2</v>
      </c>
      <c r="AD54" s="52">
        <v>3</v>
      </c>
      <c r="AE54" s="52">
        <v>4</v>
      </c>
      <c r="AF54" s="52">
        <v>5</v>
      </c>
      <c r="AG54" s="52">
        <v>6</v>
      </c>
      <c r="AH54" s="52">
        <v>7</v>
      </c>
      <c r="AI54" s="52">
        <v>8</v>
      </c>
      <c r="AJ54" s="52">
        <v>9</v>
      </c>
      <c r="AK54" s="52">
        <v>10</v>
      </c>
      <c r="AL54" s="52">
        <v>11</v>
      </c>
      <c r="AM54" s="52">
        <v>12</v>
      </c>
      <c r="AN54" s="52">
        <v>1</v>
      </c>
      <c r="AO54" s="52">
        <v>2</v>
      </c>
      <c r="AP54" s="52">
        <v>3</v>
      </c>
      <c r="AQ54" s="52">
        <v>4</v>
      </c>
      <c r="AR54" s="52">
        <v>5</v>
      </c>
      <c r="AS54" s="52">
        <v>6</v>
      </c>
      <c r="AT54" s="52">
        <v>7</v>
      </c>
      <c r="AU54" s="52">
        <v>8</v>
      </c>
      <c r="AV54" s="52">
        <v>9</v>
      </c>
      <c r="AW54" s="52">
        <v>10</v>
      </c>
      <c r="AX54" s="52">
        <v>11</v>
      </c>
      <c r="AY54" s="52">
        <v>12</v>
      </c>
      <c r="AZ54" s="52">
        <v>1</v>
      </c>
      <c r="BA54" s="52">
        <v>2</v>
      </c>
      <c r="BB54" s="52">
        <v>3</v>
      </c>
      <c r="BC54" s="52">
        <v>4</v>
      </c>
      <c r="BD54" s="52">
        <v>5</v>
      </c>
      <c r="BE54" s="52">
        <v>6</v>
      </c>
      <c r="BF54" s="52">
        <v>7</v>
      </c>
      <c r="BG54" s="52">
        <v>8</v>
      </c>
      <c r="BH54" s="52">
        <v>9</v>
      </c>
      <c r="BI54" s="52">
        <v>10</v>
      </c>
      <c r="BJ54" s="52">
        <v>11</v>
      </c>
      <c r="BK54" s="52">
        <v>12</v>
      </c>
    </row>
    <row r="55" spans="1:63" ht="18" customHeight="1" x14ac:dyDescent="0.35">
      <c r="A55" s="7" t="s">
        <v>97</v>
      </c>
      <c r="B55" s="104" t="s">
        <v>274</v>
      </c>
      <c r="C55" s="76">
        <f>SUM(D55:O55)</f>
        <v>9644389.0649999995</v>
      </c>
      <c r="D55" s="41">
        <f>'Е1.1.1 и 1.1.2'!E32</f>
        <v>-475111.3</v>
      </c>
      <c r="E55" s="41">
        <f>'Е1.1.1 и 1.1.2'!F32</f>
        <v>-364441.3</v>
      </c>
      <c r="F55" s="41">
        <f>'Е1.1.1 и 1.1.2'!G32</f>
        <v>-585781.30000000005</v>
      </c>
      <c r="G55" s="41">
        <f>'Е1.1.1 и 1.1.2'!H32</f>
        <v>1232198.885</v>
      </c>
      <c r="H55" s="41">
        <f>'Е1.1.1 и 1.1.2'!I32</f>
        <v>1232198.885</v>
      </c>
      <c r="I55" s="41">
        <f>'Е1.1.1 и 1.1.2'!J32</f>
        <v>1229432.135</v>
      </c>
      <c r="J55" s="41">
        <f>'Е1.1.1 и 1.1.2'!K32</f>
        <v>1232198.885</v>
      </c>
      <c r="K55" s="41">
        <f>'Е1.1.1 и 1.1.2'!L32</f>
        <v>1232198.885</v>
      </c>
      <c r="L55" s="41">
        <f>'Е1.1.1 и 1.1.2'!M32</f>
        <v>1229432.135</v>
      </c>
      <c r="M55" s="41">
        <f>'Е1.1.1 и 1.1.2'!N32</f>
        <v>1232198.885</v>
      </c>
      <c r="N55" s="41">
        <f>'Е1.1.1 и 1.1.2'!O32</f>
        <v>1232198.885</v>
      </c>
      <c r="O55" s="41">
        <f>'Е1.1.1 и 1.1.2'!P32</f>
        <v>1217665.385</v>
      </c>
      <c r="P55" s="41">
        <f>$E$25/12</f>
        <v>-39592.60833333333</v>
      </c>
      <c r="Q55" s="41">
        <f t="shared" ref="Q55:AA55" si="7">$E$25/12</f>
        <v>-39592.60833333333</v>
      </c>
      <c r="R55" s="41">
        <f t="shared" si="7"/>
        <v>-39592.60833333333</v>
      </c>
      <c r="S55" s="41">
        <f t="shared" si="7"/>
        <v>-39592.60833333333</v>
      </c>
      <c r="T55" s="41">
        <f t="shared" si="7"/>
        <v>-39592.60833333333</v>
      </c>
      <c r="U55" s="41">
        <f t="shared" si="7"/>
        <v>-39592.60833333333</v>
      </c>
      <c r="V55" s="41">
        <f t="shared" si="7"/>
        <v>-39592.60833333333</v>
      </c>
      <c r="W55" s="41">
        <f t="shared" si="7"/>
        <v>-39592.60833333333</v>
      </c>
      <c r="X55" s="41">
        <f t="shared" si="7"/>
        <v>-39592.60833333333</v>
      </c>
      <c r="Y55" s="41">
        <f t="shared" si="7"/>
        <v>-39592.60833333333</v>
      </c>
      <c r="Z55" s="41">
        <f t="shared" si="7"/>
        <v>-39592.60833333333</v>
      </c>
      <c r="AA55" s="41">
        <f t="shared" si="7"/>
        <v>-39592.60833333333</v>
      </c>
      <c r="AB55" s="41">
        <f>$F$25/12</f>
        <v>-30370.108333333334</v>
      </c>
      <c r="AC55" s="41">
        <f t="shared" ref="AC55:AM55" si="8">$F$25/12</f>
        <v>-30370.108333333334</v>
      </c>
      <c r="AD55" s="41">
        <f t="shared" si="8"/>
        <v>-30370.108333333334</v>
      </c>
      <c r="AE55" s="41">
        <f t="shared" si="8"/>
        <v>-30370.108333333334</v>
      </c>
      <c r="AF55" s="41">
        <f t="shared" si="8"/>
        <v>-30370.108333333334</v>
      </c>
      <c r="AG55" s="41">
        <f t="shared" si="8"/>
        <v>-30370.108333333334</v>
      </c>
      <c r="AH55" s="41">
        <f t="shared" si="8"/>
        <v>-30370.108333333334</v>
      </c>
      <c r="AI55" s="41">
        <f t="shared" si="8"/>
        <v>-30370.108333333334</v>
      </c>
      <c r="AJ55" s="41">
        <f t="shared" si="8"/>
        <v>-30370.108333333334</v>
      </c>
      <c r="AK55" s="41">
        <f t="shared" si="8"/>
        <v>-30370.108333333334</v>
      </c>
      <c r="AL55" s="41">
        <f t="shared" si="8"/>
        <v>-30370.108333333334</v>
      </c>
      <c r="AM55" s="41">
        <f t="shared" si="8"/>
        <v>-30370.108333333334</v>
      </c>
      <c r="AN55" s="41">
        <f>$G$25/12</f>
        <v>0</v>
      </c>
      <c r="AO55" s="41">
        <f t="shared" ref="AO55:AY55" si="9">$G$25/12</f>
        <v>0</v>
      </c>
      <c r="AP55" s="41">
        <f t="shared" si="9"/>
        <v>0</v>
      </c>
      <c r="AQ55" s="41">
        <f t="shared" si="9"/>
        <v>0</v>
      </c>
      <c r="AR55" s="41">
        <f t="shared" si="9"/>
        <v>0</v>
      </c>
      <c r="AS55" s="41">
        <f t="shared" si="9"/>
        <v>0</v>
      </c>
      <c r="AT55" s="41">
        <f t="shared" si="9"/>
        <v>0</v>
      </c>
      <c r="AU55" s="41">
        <f t="shared" si="9"/>
        <v>0</v>
      </c>
      <c r="AV55" s="41">
        <f t="shared" si="9"/>
        <v>0</v>
      </c>
      <c r="AW55" s="41">
        <f t="shared" si="9"/>
        <v>0</v>
      </c>
      <c r="AX55" s="41">
        <f t="shared" si="9"/>
        <v>0</v>
      </c>
      <c r="AY55" s="41">
        <f t="shared" si="9"/>
        <v>0</v>
      </c>
      <c r="AZ55" s="41">
        <f>$H$25/12</f>
        <v>0</v>
      </c>
      <c r="BA55" s="41">
        <f t="shared" ref="BA55:BK55" si="10">$H$25/12</f>
        <v>0</v>
      </c>
      <c r="BB55" s="41">
        <f t="shared" si="10"/>
        <v>0</v>
      </c>
      <c r="BC55" s="41">
        <f t="shared" si="10"/>
        <v>0</v>
      </c>
      <c r="BD55" s="41">
        <f t="shared" si="10"/>
        <v>0</v>
      </c>
      <c r="BE55" s="41">
        <f t="shared" si="10"/>
        <v>0</v>
      </c>
      <c r="BF55" s="41">
        <f t="shared" si="10"/>
        <v>0</v>
      </c>
      <c r="BG55" s="41">
        <f t="shared" si="10"/>
        <v>0</v>
      </c>
      <c r="BH55" s="41">
        <f t="shared" si="10"/>
        <v>0</v>
      </c>
      <c r="BI55" s="41">
        <f t="shared" si="10"/>
        <v>0</v>
      </c>
      <c r="BJ55" s="41">
        <f t="shared" si="10"/>
        <v>0</v>
      </c>
      <c r="BK55" s="41">
        <f t="shared" si="10"/>
        <v>0</v>
      </c>
    </row>
    <row r="56" spans="1:63" ht="17.5" x14ac:dyDescent="0.35">
      <c r="A56" s="7" t="s">
        <v>101</v>
      </c>
      <c r="B56" s="104" t="s">
        <v>287</v>
      </c>
      <c r="C56" s="41"/>
      <c r="D56" s="41">
        <f>D55</f>
        <v>-475111.3</v>
      </c>
      <c r="E56" s="41">
        <f>D56+E55</f>
        <v>-839552.6</v>
      </c>
      <c r="F56" s="41">
        <f t="shared" ref="F56:O56" si="11">E56+F55</f>
        <v>-1425333.9</v>
      </c>
      <c r="G56" s="41">
        <f t="shared" si="11"/>
        <v>-193135.0149999999</v>
      </c>
      <c r="H56" s="41">
        <f t="shared" si="11"/>
        <v>1039063.8700000001</v>
      </c>
      <c r="I56" s="41">
        <f t="shared" si="11"/>
        <v>2268496.0049999999</v>
      </c>
      <c r="J56" s="41">
        <f t="shared" si="11"/>
        <v>3500694.8899999997</v>
      </c>
      <c r="K56" s="41">
        <f t="shared" si="11"/>
        <v>4732893.7749999994</v>
      </c>
      <c r="L56" s="41">
        <f t="shared" si="11"/>
        <v>5962325.9099999992</v>
      </c>
      <c r="M56" s="41">
        <f t="shared" si="11"/>
        <v>7194524.794999999</v>
      </c>
      <c r="N56" s="41">
        <f t="shared" si="11"/>
        <v>8426723.6799999997</v>
      </c>
      <c r="O56" s="41">
        <f t="shared" si="11"/>
        <v>9644389.0649999995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63" ht="31" x14ac:dyDescent="0.25">
      <c r="A57" s="10" t="s">
        <v>278</v>
      </c>
      <c r="B57" s="144" t="s">
        <v>293</v>
      </c>
      <c r="C57" s="41"/>
      <c r="D57" s="64">
        <f>'Е1.2.1 - 1.2.3'!C30</f>
        <v>1</v>
      </c>
      <c r="E57" s="64">
        <f>'Е1.2.1 - 1.2.3'!D30</f>
        <v>0.99081357934325298</v>
      </c>
      <c r="F57" s="64">
        <f>'Е1.2.1 - 1.2.3'!E30</f>
        <v>0.98171154901098856</v>
      </c>
      <c r="G57" s="64">
        <f>'Е1.2.1 - 1.2.3'!F30</f>
        <v>0.97269313375818689</v>
      </c>
      <c r="H57" s="64">
        <f>'Е1.2.1 - 1.2.3'!G30</f>
        <v>0.96375756546155478</v>
      </c>
      <c r="I57" s="64">
        <f>'Е1.2.1 - 1.2.3'!H30</f>
        <v>0.95490408305410246</v>
      </c>
      <c r="J57" s="64">
        <f>'Е1.2.1 - 1.2.3'!I30</f>
        <v>0.94613193246032223</v>
      </c>
      <c r="K57" s="64">
        <f>'Е1.2.1 - 1.2.3'!J30</f>
        <v>0.93744036653196061</v>
      </c>
      <c r="L57" s="64">
        <f>'Е1.2.1 - 1.2.3'!K30</f>
        <v>0.92882864498438311</v>
      </c>
      <c r="M57" s="64">
        <f>'Е1.2.1 - 1.2.3'!L30</f>
        <v>0.92029603433352014</v>
      </c>
      <c r="N57" s="64">
        <f>'Е1.2.1 - 1.2.3'!M30</f>
        <v>0.91184180783339641</v>
      </c>
      <c r="O57" s="64">
        <f>'Е1.2.1 - 1.2.3'!N30</f>
        <v>0.90346524541423001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63" ht="17.5" x14ac:dyDescent="0.3">
      <c r="A58" s="16" t="s">
        <v>103</v>
      </c>
      <c r="B58" s="104" t="s">
        <v>288</v>
      </c>
      <c r="C58" s="40">
        <f>SUM(D58:O58)</f>
        <v>8969353.2345305849</v>
      </c>
      <c r="D58" s="40">
        <f t="shared" ref="D58:O58" si="12">D57*D55</f>
        <v>-475111.3</v>
      </c>
      <c r="E58" s="40">
        <f t="shared" si="12"/>
        <v>-361093.38891350827</v>
      </c>
      <c r="F58" s="40">
        <f t="shared" si="12"/>
        <v>-575068.26740467059</v>
      </c>
      <c r="G58" s="40">
        <f t="shared" si="12"/>
        <v>1198551.3948639939</v>
      </c>
      <c r="H58" s="40">
        <f t="shared" si="12"/>
        <v>1187540.9975720423</v>
      </c>
      <c r="I58" s="40">
        <f t="shared" si="12"/>
        <v>1173989.7655494225</v>
      </c>
      <c r="J58" s="40">
        <f t="shared" si="12"/>
        <v>1165822.7122405043</v>
      </c>
      <c r="K58" s="40">
        <f t="shared" si="12"/>
        <v>1155112.9743946732</v>
      </c>
      <c r="L58" s="40">
        <f t="shared" si="12"/>
        <v>1141931.7840523073</v>
      </c>
      <c r="M58" s="40">
        <f t="shared" si="12"/>
        <v>1133987.7473756853</v>
      </c>
      <c r="N58" s="40">
        <f t="shared" si="12"/>
        <v>1123570.4589086953</v>
      </c>
      <c r="O58" s="40">
        <f t="shared" si="12"/>
        <v>1100118.355891438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63" ht="30" x14ac:dyDescent="0.3">
      <c r="A59" s="16" t="s">
        <v>104</v>
      </c>
      <c r="B59" s="104" t="s">
        <v>289</v>
      </c>
      <c r="C59" s="39"/>
      <c r="D59" s="76">
        <f>D58</f>
        <v>-475111.3</v>
      </c>
      <c r="E59" s="76">
        <f t="shared" ref="E59:O59" si="13">D59+E58</f>
        <v>-836204.68891350832</v>
      </c>
      <c r="F59" s="76">
        <f t="shared" si="13"/>
        <v>-1411272.9563181789</v>
      </c>
      <c r="G59" s="76">
        <f t="shared" si="13"/>
        <v>-212721.56145418505</v>
      </c>
      <c r="H59" s="76">
        <f t="shared" si="13"/>
        <v>974819.43611785723</v>
      </c>
      <c r="I59" s="76">
        <f t="shared" si="13"/>
        <v>2148809.2016672799</v>
      </c>
      <c r="J59" s="76">
        <f t="shared" si="13"/>
        <v>3314631.913907784</v>
      </c>
      <c r="K59" s="76">
        <f t="shared" si="13"/>
        <v>4469744.8883024575</v>
      </c>
      <c r="L59" s="76">
        <f t="shared" si="13"/>
        <v>5611676.6723547652</v>
      </c>
      <c r="M59" s="76">
        <f t="shared" si="13"/>
        <v>6745664.419730451</v>
      </c>
      <c r="N59" s="76">
        <f t="shared" si="13"/>
        <v>7869234.8786391467</v>
      </c>
      <c r="O59" s="76">
        <f t="shared" si="13"/>
        <v>8969353.2345305849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63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63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63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63" ht="12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63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</sheetData>
  <mergeCells count="28">
    <mergeCell ref="P53:AA53"/>
    <mergeCell ref="AB53:AM53"/>
    <mergeCell ref="AN53:AY53"/>
    <mergeCell ref="AZ53:BK53"/>
    <mergeCell ref="A51:O51"/>
    <mergeCell ref="A53:A54"/>
    <mergeCell ref="B53:B54"/>
    <mergeCell ref="C53:C54"/>
    <mergeCell ref="D53:O53"/>
    <mergeCell ref="AZ38:BK38"/>
    <mergeCell ref="B38:B39"/>
    <mergeCell ref="C38:C39"/>
    <mergeCell ref="D38:O38"/>
    <mergeCell ref="P38:AA38"/>
    <mergeCell ref="AB38:AM38"/>
    <mergeCell ref="A38:A39"/>
    <mergeCell ref="AN38:AY38"/>
    <mergeCell ref="A3:H3"/>
    <mergeCell ref="A5:A6"/>
    <mergeCell ref="B5:B6"/>
    <mergeCell ref="C5:C6"/>
    <mergeCell ref="D5:H5"/>
    <mergeCell ref="A36:O36"/>
    <mergeCell ref="A21:H21"/>
    <mergeCell ref="A23:A24"/>
    <mergeCell ref="D23:H23"/>
    <mergeCell ref="B23:B24"/>
    <mergeCell ref="C23:C24"/>
  </mergeCells>
  <phoneticPr fontId="35" type="noConversion"/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00"/>
  </sheetPr>
  <dimension ref="A1:D1012"/>
  <sheetViews>
    <sheetView tabSelected="1" topLeftCell="A19" zoomScaleNormal="100" workbookViewId="0">
      <selection activeCell="D27" sqref="A18:D27"/>
    </sheetView>
  </sheetViews>
  <sheetFormatPr defaultColWidth="12.54296875" defaultRowHeight="15" customHeight="1" x14ac:dyDescent="0.25"/>
  <cols>
    <col min="1" max="1" width="35.36328125" customWidth="1"/>
    <col min="2" max="2" width="10.54296875" customWidth="1"/>
    <col min="3" max="3" width="9.54296875" customWidth="1"/>
    <col min="4" max="4" width="32.36328125" customWidth="1"/>
    <col min="5" max="6" width="7" customWidth="1"/>
    <col min="7" max="25" width="11" customWidth="1"/>
  </cols>
  <sheetData>
    <row r="1" spans="1:4" ht="15.75" customHeight="1" x14ac:dyDescent="0.25">
      <c r="D1" s="26" t="s">
        <v>230</v>
      </c>
    </row>
    <row r="2" spans="1:4" ht="16.5" customHeight="1" x14ac:dyDescent="0.25">
      <c r="A2" s="236" t="s">
        <v>279</v>
      </c>
      <c r="B2" s="196"/>
      <c r="C2" s="196"/>
      <c r="D2" s="196"/>
    </row>
    <row r="3" spans="1:4" ht="14.25" customHeight="1" x14ac:dyDescent="0.25">
      <c r="A3" s="65"/>
      <c r="B3" s="65"/>
    </row>
    <row r="4" spans="1:4" ht="12.75" customHeight="1" x14ac:dyDescent="0.25">
      <c r="A4" s="197" t="s">
        <v>37</v>
      </c>
      <c r="B4" s="192" t="s">
        <v>506</v>
      </c>
      <c r="C4" s="197" t="s">
        <v>110</v>
      </c>
      <c r="D4" s="192" t="s">
        <v>111</v>
      </c>
    </row>
    <row r="5" spans="1:4" ht="16.5" customHeight="1" x14ac:dyDescent="0.25">
      <c r="A5" s="194"/>
      <c r="B5" s="194"/>
      <c r="C5" s="194"/>
      <c r="D5" s="194"/>
    </row>
    <row r="6" spans="1:4" ht="15.75" customHeight="1" x14ac:dyDescent="0.35">
      <c r="A6" s="7" t="s">
        <v>112</v>
      </c>
      <c r="B6" s="146" t="s">
        <v>113</v>
      </c>
      <c r="C6" s="66" t="s">
        <v>114</v>
      </c>
      <c r="D6" s="41">
        <f>'В1.1.1'!C7</f>
        <v>1425333.9</v>
      </c>
    </row>
    <row r="7" spans="1:4" ht="15.5" x14ac:dyDescent="0.35">
      <c r="A7" s="7" t="s">
        <v>115</v>
      </c>
      <c r="B7" s="146" t="s">
        <v>82</v>
      </c>
      <c r="C7" s="66" t="s">
        <v>116</v>
      </c>
      <c r="D7" s="80">
        <f>'Е1.2.1 - 1.2.3'!C6</f>
        <v>0.11125912096807634</v>
      </c>
    </row>
    <row r="8" spans="1:4" ht="31" x14ac:dyDescent="0.25">
      <c r="A8" s="10" t="s">
        <v>117</v>
      </c>
      <c r="B8" s="146" t="s">
        <v>118</v>
      </c>
      <c r="C8" s="66" t="s">
        <v>114</v>
      </c>
      <c r="D8" s="41">
        <f>'Е1.3.1 - Е1.3.4'!C10</f>
        <v>3531125.9694668353</v>
      </c>
    </row>
    <row r="9" spans="1:4" ht="15.5" x14ac:dyDescent="0.35">
      <c r="A9" s="7" t="s">
        <v>119</v>
      </c>
      <c r="B9" s="146" t="s">
        <v>120</v>
      </c>
      <c r="C9" s="66" t="s">
        <v>116</v>
      </c>
      <c r="D9" s="175" t="e">
        <f>IRR('Е1.3.1 - Е1.3.4'!D7:H7)</f>
        <v>#NUM!</v>
      </c>
    </row>
    <row r="10" spans="1:4" ht="15.5" x14ac:dyDescent="0.35">
      <c r="A10" s="7" t="s">
        <v>121</v>
      </c>
      <c r="B10" s="146" t="s">
        <v>122</v>
      </c>
      <c r="C10" s="66" t="s">
        <v>123</v>
      </c>
      <c r="D10" s="155" t="e">
        <f>4+(('Е1.3.1 - Е1.3.4'!G8*-1)/'Е1.3.1 - Е1.3.4'!H7)</f>
        <v>#DIV/0!</v>
      </c>
    </row>
    <row r="11" spans="1:4" ht="31" x14ac:dyDescent="0.35">
      <c r="A11" s="7" t="s">
        <v>124</v>
      </c>
      <c r="B11" s="146" t="s">
        <v>125</v>
      </c>
      <c r="C11" s="66" t="s">
        <v>123</v>
      </c>
      <c r="D11" s="155" t="e">
        <f>4+(('Е1.3.1 - Е1.3.4'!G11*-1)/'Е1.3.1 - Е1.3.4'!H10)</f>
        <v>#DIV/0!</v>
      </c>
    </row>
    <row r="12" spans="1:4" ht="19.5" customHeight="1" x14ac:dyDescent="0.35">
      <c r="A12" s="7" t="s">
        <v>154</v>
      </c>
      <c r="B12" s="146" t="s">
        <v>130</v>
      </c>
      <c r="C12" s="66" t="s">
        <v>131</v>
      </c>
      <c r="D12" s="154">
        <f>('Е1.3.1 - Е1.3.4'!C12-'Е1.3.1 - Е1.3.4'!C13)/'Е1.3.1 - Е1.3.4'!C14</f>
        <v>3.4774026419120712</v>
      </c>
    </row>
    <row r="13" spans="1:4" ht="18.75" customHeight="1" x14ac:dyDescent="0.35">
      <c r="A13" s="7" t="s">
        <v>313</v>
      </c>
      <c r="B13" s="146" t="s">
        <v>312</v>
      </c>
      <c r="C13" s="66" t="s">
        <v>114</v>
      </c>
      <c r="D13" s="53">
        <f>'Е1.3.1 - Е1.3.4'!H17</f>
        <v>5384861.8422033302</v>
      </c>
    </row>
    <row r="14" spans="1:4" ht="12.75" customHeight="1" x14ac:dyDescent="0.25"/>
    <row r="15" spans="1:4" ht="15.75" customHeight="1" x14ac:dyDescent="0.25">
      <c r="D15" s="26" t="s">
        <v>231</v>
      </c>
    </row>
    <row r="16" spans="1:4" ht="16.5" customHeight="1" x14ac:dyDescent="0.25">
      <c r="A16" s="236" t="s">
        <v>280</v>
      </c>
      <c r="B16" s="196"/>
      <c r="C16" s="196"/>
      <c r="D16" s="196"/>
    </row>
    <row r="17" spans="1:4" ht="14.25" customHeight="1" x14ac:dyDescent="0.25">
      <c r="A17" s="65"/>
      <c r="B17" s="65"/>
    </row>
    <row r="18" spans="1:4" ht="12.75" customHeight="1" x14ac:dyDescent="0.25">
      <c r="A18" s="197" t="s">
        <v>37</v>
      </c>
      <c r="B18" s="192" t="s">
        <v>506</v>
      </c>
      <c r="C18" s="197" t="s">
        <v>110</v>
      </c>
      <c r="D18" s="192" t="s">
        <v>111</v>
      </c>
    </row>
    <row r="19" spans="1:4" ht="18" customHeight="1" x14ac:dyDescent="0.25">
      <c r="A19" s="194"/>
      <c r="B19" s="194"/>
      <c r="C19" s="194"/>
      <c r="D19" s="194"/>
    </row>
    <row r="20" spans="1:4" ht="28.5" customHeight="1" x14ac:dyDescent="0.35">
      <c r="A20" s="7" t="s">
        <v>112</v>
      </c>
      <c r="B20" s="146" t="s">
        <v>113</v>
      </c>
      <c r="C20" s="66" t="s">
        <v>114</v>
      </c>
      <c r="D20" s="67">
        <f>'В1.1.1'!C7</f>
        <v>1425333.9</v>
      </c>
    </row>
    <row r="21" spans="1:4" ht="24" customHeight="1" x14ac:dyDescent="0.35">
      <c r="A21" s="7" t="s">
        <v>115</v>
      </c>
      <c r="B21" s="146" t="s">
        <v>82</v>
      </c>
      <c r="C21" s="66" t="s">
        <v>116</v>
      </c>
      <c r="D21" s="56">
        <f>'Е1.2.1 - 1.2.3'!C6</f>
        <v>0.11125912096807634</v>
      </c>
    </row>
    <row r="22" spans="1:4" ht="31.5" customHeight="1" x14ac:dyDescent="0.25">
      <c r="A22" s="10" t="s">
        <v>117</v>
      </c>
      <c r="B22" s="146" t="s">
        <v>118</v>
      </c>
      <c r="C22" s="66" t="s">
        <v>114</v>
      </c>
      <c r="D22" s="67">
        <f>'Е1.3.1 - Е1.3.4'!C28</f>
        <v>8921727.0246767513</v>
      </c>
    </row>
    <row r="23" spans="1:4" ht="15.75" customHeight="1" x14ac:dyDescent="0.35">
      <c r="A23" s="7" t="s">
        <v>119</v>
      </c>
      <c r="B23" s="146" t="s">
        <v>120</v>
      </c>
      <c r="C23" s="66" t="s">
        <v>116</v>
      </c>
      <c r="D23" s="56">
        <f>IRR('Е1.3.1 - Е1.3.4'!D25:H25)</f>
        <v>-0.77942306189059374</v>
      </c>
    </row>
    <row r="24" spans="1:4" ht="15.75" customHeight="1" x14ac:dyDescent="0.35">
      <c r="A24" s="7" t="s">
        <v>121</v>
      </c>
      <c r="B24" s="146" t="s">
        <v>122</v>
      </c>
      <c r="C24" s="66" t="s">
        <v>123</v>
      </c>
      <c r="D24" s="53">
        <f>1+('Е1.3.1 - Е1.3.4'!D26*-1/'Е1.3.1 - Е1.3.4'!E25)</f>
        <v>21.299220551058244</v>
      </c>
    </row>
    <row r="25" spans="1:4" ht="31" x14ac:dyDescent="0.35">
      <c r="A25" s="7" t="s">
        <v>124</v>
      </c>
      <c r="B25" s="146" t="s">
        <v>125</v>
      </c>
      <c r="C25" s="66" t="s">
        <v>123</v>
      </c>
      <c r="D25" s="53">
        <f>1+'Е1.3.1 - Е1.3.4'!D29*-1/'Е1.3.1 - Е1.3.4'!E28</f>
        <v>23.557693985906099</v>
      </c>
    </row>
    <row r="26" spans="1:4" ht="47.25" customHeight="1" x14ac:dyDescent="0.35">
      <c r="A26" s="7" t="s">
        <v>132</v>
      </c>
      <c r="B26" s="146" t="s">
        <v>133</v>
      </c>
      <c r="C26" s="66" t="s">
        <v>134</v>
      </c>
      <c r="D26" s="53">
        <f>D22/D20</f>
        <v>6.2593943950093038</v>
      </c>
    </row>
    <row r="27" spans="1:4" ht="20.25" customHeight="1" x14ac:dyDescent="0.35">
      <c r="A27" s="7" t="s">
        <v>313</v>
      </c>
      <c r="B27" s="146" t="s">
        <v>312</v>
      </c>
      <c r="C27" s="66" t="s">
        <v>114</v>
      </c>
      <c r="D27" s="53">
        <f>'Е1.3.1 - Е1.3.4'!H32</f>
        <v>13605367.760071723</v>
      </c>
    </row>
    <row r="28" spans="1:4" ht="12.75" customHeight="1" x14ac:dyDescent="0.25"/>
    <row r="29" spans="1:4" ht="15.5" x14ac:dyDescent="0.25">
      <c r="D29" s="26" t="s">
        <v>228</v>
      </c>
    </row>
    <row r="30" spans="1:4" ht="12.75" customHeight="1" x14ac:dyDescent="0.25">
      <c r="A30" s="236" t="s">
        <v>281</v>
      </c>
      <c r="B30" s="196"/>
      <c r="C30" s="196"/>
      <c r="D30" s="196"/>
    </row>
    <row r="31" spans="1:4" ht="12.75" customHeight="1" x14ac:dyDescent="0.25">
      <c r="A31" s="65"/>
      <c r="B31" s="65"/>
    </row>
    <row r="32" spans="1:4" ht="12.75" customHeight="1" x14ac:dyDescent="0.25">
      <c r="A32" s="197" t="s">
        <v>37</v>
      </c>
      <c r="B32" s="192" t="s">
        <v>506</v>
      </c>
      <c r="C32" s="197" t="s">
        <v>110</v>
      </c>
      <c r="D32" s="192" t="s">
        <v>111</v>
      </c>
    </row>
    <row r="33" spans="1:4" ht="23.25" customHeight="1" x14ac:dyDescent="0.25">
      <c r="A33" s="194"/>
      <c r="B33" s="194"/>
      <c r="C33" s="194"/>
      <c r="D33" s="194"/>
    </row>
    <row r="34" spans="1:4" ht="15.5" x14ac:dyDescent="0.35">
      <c r="A34" s="7" t="s">
        <v>112</v>
      </c>
      <c r="B34" s="146" t="s">
        <v>113</v>
      </c>
      <c r="C34" s="66" t="s">
        <v>114</v>
      </c>
      <c r="D34" s="41">
        <f>'В1.1.1'!C7</f>
        <v>1425333.9</v>
      </c>
    </row>
    <row r="35" spans="1:4" ht="15.5" x14ac:dyDescent="0.35">
      <c r="A35" s="7" t="s">
        <v>115</v>
      </c>
      <c r="B35" s="146" t="s">
        <v>82</v>
      </c>
      <c r="C35" s="66" t="s">
        <v>116</v>
      </c>
      <c r="D35" s="56">
        <f>'Е1.2.1 - 1.2.3'!C19</f>
        <v>0.11125912096807634</v>
      </c>
    </row>
    <row r="36" spans="1:4" ht="31" x14ac:dyDescent="0.25">
      <c r="A36" s="10" t="s">
        <v>117</v>
      </c>
      <c r="B36" s="146" t="s">
        <v>118</v>
      </c>
      <c r="C36" s="66" t="s">
        <v>114</v>
      </c>
      <c r="D36" s="41">
        <f>'Е1.3.1 - Е1.3.4'!C10</f>
        <v>3531125.9694668353</v>
      </c>
    </row>
    <row r="37" spans="1:4" ht="15.5" x14ac:dyDescent="0.35">
      <c r="A37" s="7" t="s">
        <v>119</v>
      </c>
      <c r="B37" s="146" t="s">
        <v>120</v>
      </c>
      <c r="C37" s="66" t="s">
        <v>116</v>
      </c>
      <c r="D37" s="56">
        <f>IRR('Е1.3.1 - Е1.3.4'!D40:BK40)</f>
        <v>0.10312799070191203</v>
      </c>
    </row>
    <row r="38" spans="1:4" ht="15.5" x14ac:dyDescent="0.35">
      <c r="A38" s="7" t="s">
        <v>121</v>
      </c>
      <c r="B38" s="146" t="s">
        <v>122</v>
      </c>
      <c r="C38" s="66" t="s">
        <v>554</v>
      </c>
      <c r="D38" s="158">
        <f>9+('Е1.1.1 и 1.1.2'!M13*-1/'Е1.1.1 и 1.1.2'!N12)</f>
        <v>11.428424660086094</v>
      </c>
    </row>
    <row r="39" spans="1:4" ht="31" x14ac:dyDescent="0.35">
      <c r="A39" s="7" t="s">
        <v>124</v>
      </c>
      <c r="B39" s="146" t="s">
        <v>125</v>
      </c>
      <c r="C39" s="66" t="s">
        <v>554</v>
      </c>
      <c r="D39" s="158">
        <f>9+('Е1.3.1 - Е1.3.4'!L44*-1/'Е1.3.1 - Е1.3.4'!M43)</f>
        <v>11.86858682285262</v>
      </c>
    </row>
    <row r="40" spans="1:4" ht="31" x14ac:dyDescent="0.35">
      <c r="A40" s="7" t="s">
        <v>129</v>
      </c>
      <c r="B40" s="146" t="s">
        <v>130</v>
      </c>
      <c r="C40" s="66" t="s">
        <v>131</v>
      </c>
      <c r="D40" s="53">
        <f>('Е1.3.1 - Е1.3.4'!C12-'Е1.3.1 - Е1.3.4'!C13)/'Е1.3.1 - Е1.3.4'!C14</f>
        <v>3.4774026419120712</v>
      </c>
    </row>
    <row r="41" spans="1:4" ht="21.75" customHeight="1" x14ac:dyDescent="0.35">
      <c r="A41" s="7" t="s">
        <v>313</v>
      </c>
      <c r="B41" s="146" t="s">
        <v>312</v>
      </c>
      <c r="C41" s="66" t="s">
        <v>114</v>
      </c>
      <c r="D41" s="53">
        <f>'Е1.3.1 - Е1.3.4'!H17</f>
        <v>5384861.8422033302</v>
      </c>
    </row>
    <row r="42" spans="1:4" ht="12.75" customHeight="1" x14ac:dyDescent="0.25">
      <c r="A42" s="68"/>
    </row>
    <row r="43" spans="1:4" ht="15.75" customHeight="1" x14ac:dyDescent="0.25">
      <c r="C43" s="1"/>
      <c r="D43" s="26" t="s">
        <v>229</v>
      </c>
    </row>
    <row r="44" spans="1:4" ht="19.5" customHeight="1" x14ac:dyDescent="0.25">
      <c r="A44" s="236" t="s">
        <v>282</v>
      </c>
      <c r="B44" s="196"/>
      <c r="C44" s="196"/>
      <c r="D44" s="196"/>
    </row>
    <row r="45" spans="1:4" ht="12.75" customHeight="1" x14ac:dyDescent="0.25">
      <c r="A45" s="65"/>
      <c r="B45" s="65"/>
    </row>
    <row r="46" spans="1:4" ht="12.75" customHeight="1" x14ac:dyDescent="0.25">
      <c r="A46" s="197" t="s">
        <v>37</v>
      </c>
      <c r="B46" s="192" t="s">
        <v>506</v>
      </c>
      <c r="C46" s="197" t="s">
        <v>110</v>
      </c>
      <c r="D46" s="192" t="s">
        <v>111</v>
      </c>
    </row>
    <row r="47" spans="1:4" ht="20.25" customHeight="1" x14ac:dyDescent="0.25">
      <c r="A47" s="194"/>
      <c r="B47" s="194"/>
      <c r="C47" s="194"/>
      <c r="D47" s="194"/>
    </row>
    <row r="48" spans="1:4" ht="15.5" x14ac:dyDescent="0.35">
      <c r="A48" s="7" t="s">
        <v>112</v>
      </c>
      <c r="B48" s="146" t="s">
        <v>113</v>
      </c>
      <c r="C48" s="66" t="s">
        <v>114</v>
      </c>
      <c r="D48" s="41">
        <f>'В1.1.1'!C7</f>
        <v>1425333.9</v>
      </c>
    </row>
    <row r="49" spans="1:4" ht="15.5" x14ac:dyDescent="0.35">
      <c r="A49" s="7" t="s">
        <v>115</v>
      </c>
      <c r="B49" s="146" t="s">
        <v>82</v>
      </c>
      <c r="C49" s="66" t="s">
        <v>116</v>
      </c>
      <c r="D49" s="56">
        <f>'Е1.2.1 - 1.2.3'!C19</f>
        <v>0.11125912096807634</v>
      </c>
    </row>
    <row r="50" spans="1:4" ht="31" x14ac:dyDescent="0.25">
      <c r="A50" s="10" t="s">
        <v>117</v>
      </c>
      <c r="B50" s="146" t="s">
        <v>118</v>
      </c>
      <c r="C50" s="66" t="s">
        <v>114</v>
      </c>
      <c r="D50" s="41">
        <f>'Е1.3.1 - Е1.3.4'!H29</f>
        <v>8921727.0246767513</v>
      </c>
    </row>
    <row r="51" spans="1:4" ht="15.5" x14ac:dyDescent="0.35">
      <c r="A51" s="7" t="s">
        <v>119</v>
      </c>
      <c r="B51" s="146" t="s">
        <v>120</v>
      </c>
      <c r="C51" s="66" t="s">
        <v>116</v>
      </c>
      <c r="D51" s="56">
        <f>IRR('Е1.3.1 - Е1.3.4'!D55:BK55)</f>
        <v>0.53273550653150137</v>
      </c>
    </row>
    <row r="52" spans="1:4" ht="15.5" x14ac:dyDescent="0.35">
      <c r="A52" s="7" t="s">
        <v>121</v>
      </c>
      <c r="B52" s="146" t="s">
        <v>122</v>
      </c>
      <c r="C52" s="66" t="s">
        <v>554</v>
      </c>
      <c r="D52" s="187">
        <f>3+('Е1.1.1 и 1.1.2'!G33*-1/'Е1.1.1 и 1.1.2'!H32)</f>
        <v>4.1567401312816479</v>
      </c>
    </row>
    <row r="53" spans="1:4" ht="31" x14ac:dyDescent="0.35">
      <c r="A53" s="7" t="s">
        <v>124</v>
      </c>
      <c r="B53" s="146" t="s">
        <v>125</v>
      </c>
      <c r="C53" s="66" t="s">
        <v>554</v>
      </c>
      <c r="D53" s="187">
        <f>3+('Е1.3.1 - Е1.3.4'!F59*-1/'Е1.3.1 - Е1.3.4'!G58)</f>
        <v>4.1774822192571257</v>
      </c>
    </row>
    <row r="54" spans="1:4" ht="46.5" x14ac:dyDescent="0.35">
      <c r="A54" s="7" t="s">
        <v>132</v>
      </c>
      <c r="B54" s="146" t="s">
        <v>133</v>
      </c>
      <c r="C54" s="66" t="s">
        <v>134</v>
      </c>
      <c r="D54" s="53">
        <f>D50/D48</f>
        <v>6.2593943950093038</v>
      </c>
    </row>
    <row r="55" spans="1:4" ht="21" customHeight="1" x14ac:dyDescent="0.35">
      <c r="A55" s="7" t="s">
        <v>313</v>
      </c>
      <c r="B55" s="146" t="s">
        <v>312</v>
      </c>
      <c r="C55" s="66" t="s">
        <v>114</v>
      </c>
      <c r="D55" s="53">
        <f>'Е1.3.1 - Е1.3.4'!H32</f>
        <v>13605367.760071723</v>
      </c>
    </row>
    <row r="56" spans="1:4" ht="12.75" customHeight="1" x14ac:dyDescent="0.25"/>
    <row r="57" spans="1:4" ht="12.75" customHeight="1" x14ac:dyDescent="0.25"/>
    <row r="58" spans="1:4" ht="12.75" customHeight="1" x14ac:dyDescent="0.25"/>
    <row r="59" spans="1:4" ht="12.75" customHeight="1" x14ac:dyDescent="0.25"/>
    <row r="60" spans="1:4" ht="12.75" customHeight="1" x14ac:dyDescent="0.25"/>
    <row r="61" spans="1:4" ht="12.75" customHeight="1" x14ac:dyDescent="0.25"/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20">
    <mergeCell ref="A2:D2"/>
    <mergeCell ref="A4:A5"/>
    <mergeCell ref="B4:B5"/>
    <mergeCell ref="C4:C5"/>
    <mergeCell ref="D4:D5"/>
    <mergeCell ref="A46:A47"/>
    <mergeCell ref="B46:B47"/>
    <mergeCell ref="C46:C47"/>
    <mergeCell ref="D46:D47"/>
    <mergeCell ref="A16:D16"/>
    <mergeCell ref="D32:D33"/>
    <mergeCell ref="D18:D19"/>
    <mergeCell ref="A44:D44"/>
    <mergeCell ref="A30:D30"/>
    <mergeCell ref="A18:A19"/>
    <mergeCell ref="A32:A33"/>
    <mergeCell ref="B32:B33"/>
    <mergeCell ref="C32:C33"/>
    <mergeCell ref="B18:B19"/>
    <mergeCell ref="C18:C19"/>
  </mergeCells>
  <phoneticPr fontId="35" type="noConversion"/>
  <pageMargins left="0.7" right="0.7" top="0.75" bottom="0.75" header="0" footer="0"/>
  <pageSetup orientation="landscape" r:id="rId1"/>
  <rowBreaks count="1" manualBreakCount="1">
    <brk id="14" max="16383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10"/>
  <sheetViews>
    <sheetView showGridLines="0" workbookViewId="0"/>
  </sheetViews>
  <sheetFormatPr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179" t="s">
        <v>15</v>
      </c>
      <c r="C1" s="179"/>
      <c r="D1" s="183"/>
      <c r="E1" s="183"/>
      <c r="F1" s="183"/>
    </row>
    <row r="2" spans="2:6" ht="13" x14ac:dyDescent="0.25">
      <c r="B2" s="179" t="s">
        <v>16</v>
      </c>
      <c r="C2" s="179"/>
      <c r="D2" s="183"/>
      <c r="E2" s="183"/>
      <c r="F2" s="183"/>
    </row>
    <row r="3" spans="2:6" x14ac:dyDescent="0.25">
      <c r="B3" s="180"/>
      <c r="C3" s="180"/>
      <c r="D3" s="184"/>
      <c r="E3" s="184"/>
      <c r="F3" s="184"/>
    </row>
    <row r="4" spans="2:6" ht="37.5" x14ac:dyDescent="0.25">
      <c r="B4" s="180" t="s">
        <v>17</v>
      </c>
      <c r="C4" s="180"/>
      <c r="D4" s="184"/>
      <c r="E4" s="184"/>
      <c r="F4" s="184"/>
    </row>
    <row r="5" spans="2:6" x14ac:dyDescent="0.25">
      <c r="B5" s="180"/>
      <c r="C5" s="180"/>
      <c r="D5" s="184"/>
      <c r="E5" s="184"/>
      <c r="F5" s="184"/>
    </row>
    <row r="6" spans="2:6" ht="26" x14ac:dyDescent="0.25">
      <c r="B6" s="179" t="s">
        <v>18</v>
      </c>
      <c r="C6" s="179"/>
      <c r="D6" s="183"/>
      <c r="E6" s="183" t="s">
        <v>19</v>
      </c>
      <c r="F6" s="183" t="s">
        <v>20</v>
      </c>
    </row>
    <row r="7" spans="2:6" ht="13" thickBot="1" x14ac:dyDescent="0.3">
      <c r="B7" s="180"/>
      <c r="C7" s="180"/>
      <c r="D7" s="184"/>
      <c r="E7" s="184"/>
      <c r="F7" s="184"/>
    </row>
    <row r="8" spans="2:6" ht="38" thickBot="1" x14ac:dyDescent="0.3">
      <c r="B8" s="181" t="s">
        <v>21</v>
      </c>
      <c r="C8" s="182"/>
      <c r="D8" s="185"/>
      <c r="E8" s="185">
        <v>3</v>
      </c>
      <c r="F8" s="186" t="s">
        <v>22</v>
      </c>
    </row>
    <row r="9" spans="2:6" x14ac:dyDescent="0.25">
      <c r="B9" s="180"/>
      <c r="C9" s="180"/>
      <c r="D9" s="184"/>
      <c r="E9" s="184"/>
      <c r="F9" s="184"/>
    </row>
    <row r="10" spans="2:6" x14ac:dyDescent="0.25">
      <c r="B10" s="180"/>
      <c r="C10" s="180"/>
      <c r="D10" s="184"/>
      <c r="E10" s="184"/>
      <c r="F10" s="184"/>
    </row>
  </sheetData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7</vt:i4>
      </vt:variant>
    </vt:vector>
  </HeadingPairs>
  <TitlesOfParts>
    <vt:vector size="26" baseType="lpstr">
      <vt:lpstr>блок-схема</vt:lpstr>
      <vt:lpstr>А1.1.1</vt:lpstr>
      <vt:lpstr>А1.2.1</vt:lpstr>
      <vt:lpstr>А1.2.2</vt:lpstr>
      <vt:lpstr>А1.2.3</vt:lpstr>
      <vt:lpstr>А1.3.1</vt:lpstr>
      <vt:lpstr>Б1.1.1</vt:lpstr>
      <vt:lpstr>В1.1.1</vt:lpstr>
      <vt:lpstr>В1.2.1</vt:lpstr>
      <vt:lpstr>В1.2.2</vt:lpstr>
      <vt:lpstr>В1.2.3</vt:lpstr>
      <vt:lpstr>В1.3.1</vt:lpstr>
      <vt:lpstr>Г1.1.1</vt:lpstr>
      <vt:lpstr>Д1.1.1</vt:lpstr>
      <vt:lpstr>Е1.1.1 и 1.1.2</vt:lpstr>
      <vt:lpstr>Е1.2.1 - 1.2.3</vt:lpstr>
      <vt:lpstr>Е1.3.1 - Е1.3.4</vt:lpstr>
      <vt:lpstr>Е1.4.1 - 1.4.4</vt:lpstr>
      <vt:lpstr>Лист1</vt:lpstr>
      <vt:lpstr>А1.1.1!Область_печати</vt:lpstr>
      <vt:lpstr>А1.2.1!Область_печати</vt:lpstr>
      <vt:lpstr>А1.2.2!Область_печати</vt:lpstr>
      <vt:lpstr>А1.2.3!Область_печати</vt:lpstr>
      <vt:lpstr>Б1.1.1!Область_печати</vt:lpstr>
      <vt:lpstr>'блок-схема'!Область_печати</vt:lpstr>
      <vt:lpstr>'Е1.4.1 - 1.4.4'!Область_печати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Демидов Андрей Викторович</dc:creator>
  <cp:lastModifiedBy>Павел Гамов</cp:lastModifiedBy>
  <cp:lastPrinted>2022-11-18T15:09:26Z</cp:lastPrinted>
  <dcterms:created xsi:type="dcterms:W3CDTF">2022-05-08T18:14:59Z</dcterms:created>
  <dcterms:modified xsi:type="dcterms:W3CDTF">2026-04-26T14:07:33Z</dcterms:modified>
</cp:coreProperties>
</file>