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NC\OneDrive - РУТ (МИИТ)\Рабочий стол\8-ой семестр\ВКР\МАТЕРИАЛЫ ДИПЛОМА\ГЛАВА 3. ОЦЕНКА ЭКОНОМИЧЕСКОЙ ЭФФЕКТИВНОСТИ\"/>
    </mc:Choice>
  </mc:AlternateContent>
  <bookViews>
    <workbookView xWindow="0" yWindow="0" windowWidth="23016" windowHeight="916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1" l="1"/>
  <c r="G19" i="1"/>
  <c r="G21" i="1" s="1"/>
  <c r="G23" i="1" s="1"/>
  <c r="F19" i="1"/>
  <c r="F20" i="1" s="1"/>
  <c r="E19" i="1"/>
  <c r="E21" i="1" s="1"/>
  <c r="E23" i="1" s="1"/>
  <c r="D19" i="1"/>
  <c r="D21" i="1" s="1"/>
  <c r="D23" i="1" s="1"/>
  <c r="D5" i="1"/>
  <c r="C19" i="1"/>
  <c r="C20" i="1" s="1"/>
  <c r="C21" i="1" s="1"/>
  <c r="C23" i="1" s="1"/>
  <c r="C24" i="1" s="1"/>
  <c r="C5" i="1"/>
  <c r="C6" i="1" s="1"/>
  <c r="C7" i="1" s="1"/>
  <c r="E7" i="1"/>
  <c r="D6" i="1"/>
  <c r="E6" i="1"/>
  <c r="G5" i="1"/>
  <c r="G7" i="1" s="1"/>
  <c r="F5" i="1"/>
  <c r="F6" i="1" s="1"/>
  <c r="E5" i="1"/>
  <c r="D7" i="1"/>
  <c r="D24" i="1" l="1"/>
  <c r="E24" i="1" s="1"/>
  <c r="F24" i="1" s="1"/>
  <c r="G24" i="1" s="1"/>
  <c r="G20" i="1"/>
  <c r="F21" i="1"/>
  <c r="F23" i="1" s="1"/>
  <c r="F7" i="1"/>
  <c r="G6" i="1"/>
  <c r="D20" i="1"/>
  <c r="E20" i="1"/>
  <c r="D9" i="1"/>
  <c r="E9" i="1"/>
  <c r="F9" i="1"/>
  <c r="G9" i="1"/>
  <c r="C9" i="1"/>
</calcChain>
</file>

<file path=xl/sharedStrings.xml><?xml version="1.0" encoding="utf-8"?>
<sst xmlns="http://schemas.openxmlformats.org/spreadsheetml/2006/main" count="27" uniqueCount="13">
  <si>
    <t>№</t>
  </si>
  <si>
    <t>Показатели</t>
  </si>
  <si>
    <t>Период t</t>
  </si>
  <si>
    <t>Стоимость разработки системы</t>
  </si>
  <si>
    <t>Затраты на сопровождение</t>
  </si>
  <si>
    <t>Чистый текущий денежный поток</t>
  </si>
  <si>
    <t>Чистый денежный поток</t>
  </si>
  <si>
    <t>Коэффициент дисконтирования</t>
  </si>
  <si>
    <t>Чистый дисконтированный денежный поток</t>
  </si>
  <si>
    <t>Чистый дисконтированный денежный поток нарастающим итогом</t>
  </si>
  <si>
    <t>Затраты ДО</t>
  </si>
  <si>
    <t>Экономия затрат (денежные и ресурсные)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</si>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</sst>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topLeftCell="A10" workbookViewId="0">
      <selection activeCell="K25" sqref="K25"/>
    </sheetView>
  </sheetViews>
  <sheetFormatPr defaultRowHeight="14.4" x14ac:dyDescent="0.3"/>
  <cols>
    <col min="2" max="2" width="60" bestFit="1" customWidth="1"/>
    <col min="3" max="3" width="16.44140625" customWidth="1"/>
    <col min="4" max="4" width="13.6640625" customWidth="1"/>
    <col min="5" max="7" width="11.44140625" bestFit="1" customWidth="1"/>
    <col min="10" max="10" width="10.88671875" bestFit="1" customWidth="1"/>
  </cols>
  <sheetData>
    <row r="1" spans="1:15" x14ac:dyDescent="0.3">
      <c r="A1" s="1" t="s">
        <v>0</v>
      </c>
      <c r="B1" s="1" t="s">
        <v>1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</row>
    <row r="2" spans="1:15" x14ac:dyDescent="0.3">
      <c r="A2" s="1">
        <v>1</v>
      </c>
      <c r="B2" s="1" t="s">
        <v>2</v>
      </c>
      <c r="C2" s="1">
        <v>0</v>
      </c>
      <c r="D2" s="1">
        <v>1</v>
      </c>
      <c r="E2" s="1">
        <v>2</v>
      </c>
      <c r="F2" s="1">
        <v>3</v>
      </c>
      <c r="G2" s="1">
        <v>4</v>
      </c>
      <c r="J2" s="1" t="s">
        <v>2</v>
      </c>
      <c r="K2" s="1">
        <v>0</v>
      </c>
      <c r="L2" s="1">
        <v>1</v>
      </c>
      <c r="M2" s="1">
        <v>2</v>
      </c>
      <c r="N2" s="1">
        <v>3</v>
      </c>
      <c r="O2" s="1">
        <v>4</v>
      </c>
    </row>
    <row r="3" spans="1:15" x14ac:dyDescent="0.3">
      <c r="A3" s="1">
        <v>2</v>
      </c>
      <c r="B3" s="2" t="s">
        <v>3</v>
      </c>
      <c r="C3" s="3">
        <v>269646</v>
      </c>
      <c r="D3" s="3"/>
      <c r="E3" s="3"/>
      <c r="F3" s="3"/>
      <c r="G3" s="3"/>
      <c r="J3" s="5" t="s">
        <v>10</v>
      </c>
      <c r="K3" s="5">
        <v>894000</v>
      </c>
      <c r="L3" s="5">
        <v>894000</v>
      </c>
      <c r="M3" s="5">
        <v>894000</v>
      </c>
      <c r="N3" s="5">
        <v>894000</v>
      </c>
      <c r="O3" s="5">
        <v>894000</v>
      </c>
    </row>
    <row r="4" spans="1:15" x14ac:dyDescent="0.3">
      <c r="A4" s="1">
        <v>3</v>
      </c>
      <c r="B4" s="2" t="s">
        <v>4</v>
      </c>
      <c r="C4" s="3">
        <v>7783</v>
      </c>
      <c r="D4" s="3">
        <v>7783</v>
      </c>
      <c r="E4" s="3">
        <v>7783</v>
      </c>
      <c r="F4" s="3">
        <v>7783</v>
      </c>
      <c r="G4" s="3">
        <v>7783</v>
      </c>
    </row>
    <row r="5" spans="1:15" x14ac:dyDescent="0.3">
      <c r="A5" s="1">
        <v>4</v>
      </c>
      <c r="B5" s="4" t="s">
        <v>11</v>
      </c>
      <c r="C5" s="3">
        <f>K3-SUM(C3:C4)</f>
        <v>616571</v>
      </c>
      <c r="D5" s="3">
        <f>L3-D4</f>
        <v>886217</v>
      </c>
      <c r="E5" s="3">
        <f>M3-E4</f>
        <v>886217</v>
      </c>
      <c r="F5" s="3">
        <f>N3-F4</f>
        <v>886217</v>
      </c>
      <c r="G5" s="3">
        <f>O3-G4</f>
        <v>886217</v>
      </c>
    </row>
    <row r="6" spans="1:15" x14ac:dyDescent="0.3">
      <c r="A6" s="1">
        <v>5</v>
      </c>
      <c r="B6" s="1" t="s">
        <v>5</v>
      </c>
      <c r="C6" s="3">
        <f>C5-C4</f>
        <v>608788</v>
      </c>
      <c r="D6" s="3">
        <f t="shared" ref="D6:G6" si="0">D5-D4</f>
        <v>878434</v>
      </c>
      <c r="E6" s="3">
        <f t="shared" si="0"/>
        <v>878434</v>
      </c>
      <c r="F6" s="3">
        <f t="shared" si="0"/>
        <v>878434</v>
      </c>
      <c r="G6" s="3">
        <f t="shared" si="0"/>
        <v>878434</v>
      </c>
    </row>
    <row r="7" spans="1:15" x14ac:dyDescent="0.3">
      <c r="A7" s="1">
        <v>6</v>
      </c>
      <c r="B7" s="1" t="s">
        <v>6</v>
      </c>
      <c r="C7" s="3">
        <f>C6-C3</f>
        <v>339142</v>
      </c>
      <c r="D7" s="3">
        <f>D5-D4</f>
        <v>878434</v>
      </c>
      <c r="E7" s="3">
        <f t="shared" ref="E7:G7" si="1">E5-E4</f>
        <v>878434</v>
      </c>
      <c r="F7" s="3">
        <f t="shared" si="1"/>
        <v>878434</v>
      </c>
      <c r="G7" s="3">
        <f t="shared" si="1"/>
        <v>878434</v>
      </c>
    </row>
    <row r="8" spans="1:15" x14ac:dyDescent="0.3">
      <c r="A8" s="1">
        <v>7</v>
      </c>
      <c r="B8" s="1" t="s">
        <v>7</v>
      </c>
      <c r="C8" s="3">
        <v>1</v>
      </c>
      <c r="D8" s="3">
        <v>0.86</v>
      </c>
      <c r="E8" s="3">
        <v>0.74</v>
      </c>
      <c r="F8" s="3">
        <v>0.64</v>
      </c>
      <c r="G8" s="3">
        <v>0.55000000000000004</v>
      </c>
    </row>
    <row r="9" spans="1:15" x14ac:dyDescent="0.3">
      <c r="A9" s="1">
        <v>8</v>
      </c>
      <c r="B9" s="1" t="s">
        <v>8</v>
      </c>
      <c r="C9" s="3">
        <f>C7*C8</f>
        <v>339142</v>
      </c>
      <c r="D9" s="3">
        <f t="shared" ref="D9:G9" si="2">D7*D8</f>
        <v>755453.24</v>
      </c>
      <c r="E9" s="3">
        <f t="shared" si="2"/>
        <v>650041.16</v>
      </c>
      <c r="F9" s="3">
        <f t="shared" si="2"/>
        <v>562197.76000000001</v>
      </c>
      <c r="G9" s="3">
        <f t="shared" si="2"/>
        <v>483138.7</v>
      </c>
    </row>
    <row r="10" spans="1:15" x14ac:dyDescent="0.3">
      <c r="A10" s="1">
        <v>9</v>
      </c>
      <c r="B10" s="1" t="s">
        <v>9</v>
      </c>
      <c r="C10" s="3"/>
      <c r="D10" s="3"/>
      <c r="E10" s="3"/>
      <c r="F10" s="3"/>
      <c r="G10" s="3"/>
    </row>
    <row r="15" spans="1:15" x14ac:dyDescent="0.3">
      <c r="A15" s="1" t="s">
        <v>0</v>
      </c>
      <c r="B15" s="1" t="s">
        <v>1</v>
      </c>
      <c r="C15" s="1">
        <v>2024</v>
      </c>
      <c r="D15" s="1">
        <v>2025</v>
      </c>
      <c r="E15" s="1">
        <v>2026</v>
      </c>
      <c r="F15" s="1">
        <v>2027</v>
      </c>
      <c r="G15" s="1">
        <v>2028</v>
      </c>
      <c r="J15" s="1" t="s">
        <v>2</v>
      </c>
      <c r="K15" s="1">
        <v>0</v>
      </c>
      <c r="L15" s="1">
        <v>1</v>
      </c>
      <c r="M15" s="1">
        <v>2</v>
      </c>
      <c r="N15" s="1">
        <v>3</v>
      </c>
      <c r="O15" s="1">
        <v>4</v>
      </c>
    </row>
    <row r="16" spans="1:15" x14ac:dyDescent="0.3">
      <c r="A16" s="1">
        <v>1</v>
      </c>
      <c r="B16" s="1" t="s">
        <v>2</v>
      </c>
      <c r="C16" s="1">
        <v>0</v>
      </c>
      <c r="D16" s="1">
        <v>1</v>
      </c>
      <c r="E16" s="1">
        <v>2</v>
      </c>
      <c r="F16" s="1">
        <v>3</v>
      </c>
      <c r="G16" s="1">
        <v>4</v>
      </c>
      <c r="J16" s="5" t="s">
        <v>10</v>
      </c>
      <c r="K16" s="5">
        <v>366000</v>
      </c>
      <c r="L16" s="5">
        <v>366000</v>
      </c>
      <c r="M16" s="5">
        <v>366000</v>
      </c>
      <c r="N16" s="5">
        <v>366000</v>
      </c>
      <c r="O16" s="5">
        <v>366000</v>
      </c>
    </row>
    <row r="17" spans="1:10" x14ac:dyDescent="0.3">
      <c r="A17" s="1">
        <v>2</v>
      </c>
      <c r="B17" s="2" t="s">
        <v>3</v>
      </c>
      <c r="C17" s="7">
        <v>269646</v>
      </c>
      <c r="D17" s="7"/>
      <c r="E17" s="7"/>
      <c r="F17" s="7"/>
      <c r="G17" s="7"/>
    </row>
    <row r="18" spans="1:10" x14ac:dyDescent="0.3">
      <c r="A18" s="1">
        <v>3</v>
      </c>
      <c r="B18" s="2" t="s">
        <v>4</v>
      </c>
      <c r="C18" s="7">
        <v>7783</v>
      </c>
      <c r="D18" s="7">
        <v>7783</v>
      </c>
      <c r="E18" s="7">
        <v>7783</v>
      </c>
      <c r="F18" s="7">
        <v>7783</v>
      </c>
      <c r="G18" s="7">
        <v>7783</v>
      </c>
    </row>
    <row r="19" spans="1:10" x14ac:dyDescent="0.3">
      <c r="A19" s="1">
        <v>4</v>
      </c>
      <c r="B19" s="4" t="s">
        <v>11</v>
      </c>
      <c r="C19" s="7">
        <f>K16-SUM(C17:C18)</f>
        <v>88571</v>
      </c>
      <c r="D19" s="7">
        <f>L16-D18</f>
        <v>358217</v>
      </c>
      <c r="E19" s="7">
        <f>M16-E18</f>
        <v>358217</v>
      </c>
      <c r="F19" s="7">
        <f>N16-F18</f>
        <v>358217</v>
      </c>
      <c r="G19" s="7">
        <f>O16-G18</f>
        <v>358217</v>
      </c>
    </row>
    <row r="20" spans="1:10" x14ac:dyDescent="0.3">
      <c r="A20" s="1">
        <v>5</v>
      </c>
      <c r="B20" s="1" t="s">
        <v>5</v>
      </c>
      <c r="C20" s="7">
        <f>C19-C18</f>
        <v>80788</v>
      </c>
      <c r="D20" s="7">
        <f t="shared" ref="D20" si="3">D19-D18</f>
        <v>350434</v>
      </c>
      <c r="E20" s="7">
        <f t="shared" ref="E20" si="4">E19-E18</f>
        <v>350434</v>
      </c>
      <c r="F20" s="7">
        <f t="shared" ref="F20" si="5">F19-F18</f>
        <v>350434</v>
      </c>
      <c r="G20" s="7">
        <f t="shared" ref="G20" si="6">G19-G18</f>
        <v>350434</v>
      </c>
    </row>
    <row r="21" spans="1:10" x14ac:dyDescent="0.3">
      <c r="A21" s="1">
        <v>6</v>
      </c>
      <c r="B21" s="1" t="s">
        <v>6</v>
      </c>
      <c r="C21" s="7">
        <f>C20-C17</f>
        <v>-188858</v>
      </c>
      <c r="D21" s="7">
        <f>D19-D18</f>
        <v>350434</v>
      </c>
      <c r="E21" s="7">
        <f t="shared" ref="E21:G21" si="7">E19-E18</f>
        <v>350434</v>
      </c>
      <c r="F21" s="7">
        <f t="shared" si="7"/>
        <v>350434</v>
      </c>
      <c r="G21" s="7">
        <f t="shared" si="7"/>
        <v>350434</v>
      </c>
    </row>
    <row r="22" spans="1:10" x14ac:dyDescent="0.3">
      <c r="A22" s="1">
        <v>7</v>
      </c>
      <c r="B22" s="1" t="s">
        <v>7</v>
      </c>
      <c r="C22" s="6">
        <v>1</v>
      </c>
      <c r="D22" s="6">
        <v>0.86</v>
      </c>
      <c r="E22" s="6">
        <v>0.74</v>
      </c>
      <c r="F22" s="6">
        <v>0.64</v>
      </c>
      <c r="G22" s="6">
        <v>0.55000000000000004</v>
      </c>
    </row>
    <row r="23" spans="1:10" x14ac:dyDescent="0.3">
      <c r="A23" s="1">
        <v>8</v>
      </c>
      <c r="B23" s="1" t="s">
        <v>8</v>
      </c>
      <c r="C23" s="7">
        <f>C21*C22</f>
        <v>-188858</v>
      </c>
      <c r="D23" s="7">
        <f t="shared" ref="D23:G23" si="8">D21*D22</f>
        <v>301373.24</v>
      </c>
      <c r="E23" s="7">
        <f t="shared" si="8"/>
        <v>259321.16</v>
      </c>
      <c r="F23" s="7">
        <f t="shared" si="8"/>
        <v>224277.76000000001</v>
      </c>
      <c r="G23" s="7">
        <f t="shared" si="8"/>
        <v>192738.7</v>
      </c>
    </row>
    <row r="24" spans="1:10" x14ac:dyDescent="0.3">
      <c r="A24" s="1">
        <v>9</v>
      </c>
      <c r="B24" s="1" t="s">
        <v>9</v>
      </c>
      <c r="C24" s="7">
        <f>C23</f>
        <v>-188858</v>
      </c>
      <c r="D24" s="7">
        <f>C24+D23</f>
        <v>112515.23999999999</v>
      </c>
      <c r="E24" s="7">
        <f>D24+E23</f>
        <v>371836.4</v>
      </c>
      <c r="F24" s="7">
        <f>E24+F23</f>
        <v>596114.16</v>
      </c>
      <c r="G24" s="7">
        <f>F24+G23</f>
        <v>788852.8600000001</v>
      </c>
      <c r="I24" t="s">
        <v>12</v>
      </c>
      <c r="J24" s="8">
        <f>SUM(C23:G23)</f>
        <v>788852.8600000001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UserNC</dc:creator>
  <cp:lastModifiedBy>UserNC</cp:lastModifiedBy>
  <dcterms:created xsi:type="dcterms:W3CDTF">2024-05-26T05:44:00Z</dcterms:created>
  <dcterms:modified xsi:type="dcterms:W3CDTF">2024-05-26T07:18:06Z</dcterms:modified>
</cp:coreProperties>
</file>