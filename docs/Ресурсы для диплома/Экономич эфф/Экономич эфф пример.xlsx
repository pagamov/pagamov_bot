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NC\OneDrive - РУТ (МИИТ)\Рабочий стол\"/>
    </mc:Choice>
  </mc:AlternateContent>
  <bookViews>
    <workbookView xWindow="0" yWindow="0" windowWidth="23016" windowHeight="91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1" l="1"/>
  <c r="G41" i="1"/>
  <c r="F41" i="1"/>
  <c r="E41" i="1"/>
  <c r="D41" i="1"/>
  <c r="G43" i="1"/>
  <c r="F43" i="1"/>
  <c r="E43" i="1"/>
  <c r="D43" i="1"/>
  <c r="C43" i="1"/>
  <c r="G42" i="1"/>
  <c r="C41" i="1"/>
  <c r="C42" i="1" s="1"/>
  <c r="D42" i="1"/>
  <c r="E42" i="1"/>
  <c r="F42" i="1"/>
  <c r="I55" i="1"/>
  <c r="G37" i="1"/>
  <c r="F37" i="1"/>
  <c r="E37" i="1"/>
  <c r="D37" i="1"/>
  <c r="C37" i="1"/>
  <c r="I52" i="1"/>
  <c r="I51" i="1"/>
  <c r="I50" i="1"/>
  <c r="I49" i="1"/>
  <c r="C21" i="1"/>
  <c r="D21" i="1"/>
  <c r="E19" i="1"/>
  <c r="D20" i="1"/>
  <c r="G40" i="1"/>
  <c r="F40" i="1"/>
  <c r="E40" i="1"/>
  <c r="D40" i="1"/>
  <c r="D39" i="1"/>
  <c r="E39" i="1"/>
  <c r="F39" i="1"/>
  <c r="G39" i="1"/>
  <c r="C39" i="1"/>
  <c r="E38" i="1"/>
  <c r="F38" i="1"/>
  <c r="G38" i="1"/>
  <c r="D38" i="1"/>
  <c r="J25" i="1"/>
  <c r="J24" i="1" l="1"/>
  <c r="G19" i="1"/>
  <c r="G21" i="1" s="1"/>
  <c r="G23" i="1" s="1"/>
  <c r="F19" i="1"/>
  <c r="F20" i="1" s="1"/>
  <c r="E21" i="1"/>
  <c r="E23" i="1" s="1"/>
  <c r="D19" i="1"/>
  <c r="D23" i="1" s="1"/>
  <c r="D5" i="1"/>
  <c r="C19" i="1"/>
  <c r="C20" i="1" s="1"/>
  <c r="C23" i="1" s="1"/>
  <c r="C24" i="1" s="1"/>
  <c r="C5" i="1"/>
  <c r="C6" i="1" s="1"/>
  <c r="C7" i="1" s="1"/>
  <c r="E7" i="1"/>
  <c r="D6" i="1"/>
  <c r="E6" i="1"/>
  <c r="G5" i="1"/>
  <c r="G7" i="1" s="1"/>
  <c r="F5" i="1"/>
  <c r="F6" i="1" s="1"/>
  <c r="E5" i="1"/>
  <c r="D7" i="1"/>
  <c r="D24" i="1" l="1"/>
  <c r="E24" i="1" s="1"/>
  <c r="F24" i="1" s="1"/>
  <c r="G24" i="1" s="1"/>
  <c r="G20" i="1"/>
  <c r="F21" i="1"/>
  <c r="F23" i="1" s="1"/>
  <c r="F7" i="1"/>
  <c r="G6" i="1"/>
  <c r="E20" i="1"/>
  <c r="D9" i="1"/>
  <c r="E9" i="1"/>
  <c r="F9" i="1"/>
  <c r="G9" i="1"/>
  <c r="C9" i="1"/>
</calcChain>
</file>

<file path=xl/sharedStrings.xml><?xml version="1.0" encoding="utf-8"?>
<sst xmlns="http://schemas.openxmlformats.org/spreadsheetml/2006/main" count="75" uniqueCount="45">
  <si>
    <t>№</t>
  </si>
  <si>
    <t>Показатели</t>
  </si>
  <si>
    <t>Период t</t>
  </si>
  <si>
    <t>Стоимость разработки системы</t>
  </si>
  <si>
    <t>Затраты на сопровождение</t>
  </si>
  <si>
    <t>Чистый текущий денежный поток</t>
  </si>
  <si>
    <t>Чистый денежный поток</t>
  </si>
  <si>
    <t>Коэффициент дисконтирования</t>
  </si>
  <si>
    <t>Чистый дисконтированный денежный поток</t>
  </si>
  <si>
    <t>Чистый дисконтированный денежный поток нарастающим итогом</t>
  </si>
  <si>
    <t>Затраты ДО</t>
  </si>
  <si>
    <t>Экономия затрат (денежные и ресурсные)</t>
  </si>
  <si>
    <t>NPV</t>
  </si>
  <si>
    <t>rинфл</t>
  </si>
  <si>
    <t>РАСЧЕТ С УЧЕТОМ СТАВКИ ДИСОКНТИРОВАНИЯ ПРИ ИНФЛЯФИИ 4,5</t>
  </si>
  <si>
    <t>Показатели эффективности ИТ-проекта</t>
  </si>
  <si>
    <t>Наименование показателя</t>
  </si>
  <si>
    <t>Обозначение</t>
  </si>
  <si>
    <t>Ед. измерения</t>
  </si>
  <si>
    <t>Величина показателя</t>
  </si>
  <si>
    <t>1. Объем инвестиций</t>
  </si>
  <si>
    <t>2. Ставка дисконтирования</t>
  </si>
  <si>
    <t>3. Чистая приведенная стоимость проекта</t>
  </si>
  <si>
    <t>4. Внутренняя норма доходности</t>
  </si>
  <si>
    <t>5. Простой срок окупаемости проекта</t>
  </si>
  <si>
    <t>6. Дисконтированный срок окупаемости проекта</t>
  </si>
  <si>
    <t>7. Коэффициент удельной эффективности проекта (модифицированный)</t>
  </si>
  <si>
    <t>I проект</t>
  </si>
  <si>
    <t>r</t>
  </si>
  <si>
    <t>IRR</t>
  </si>
  <si>
    <t>PPs</t>
  </si>
  <si>
    <t>PPd</t>
  </si>
  <si>
    <t>PI_мод</t>
  </si>
  <si>
    <t>NTV</t>
  </si>
  <si>
    <t>8. Чистая конечная стоимость</t>
  </si>
  <si>
    <t>руб.</t>
  </si>
  <si>
    <t>%</t>
  </si>
  <si>
    <t>коэф-т</t>
  </si>
  <si>
    <t>Чистый денежный поток нарастающим итогом</t>
  </si>
  <si>
    <t>6,5 месяцев</t>
  </si>
  <si>
    <t>7,5 месяцев</t>
  </si>
  <si>
    <t>месяцев/лет</t>
  </si>
  <si>
    <t>Коэффициент наращения</t>
  </si>
  <si>
    <t>Чистый денежный поток, приведенный к моменту окончания проекта, руб.</t>
  </si>
  <si>
    <t>Чистый денежный поток нарастающим итогом, приведенный к моменту окончания проекта,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</si>
</sst>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i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/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topLeftCell="A40" workbookViewId="0">
      <selection activeCell="J55" sqref="J55"/>
    </sheetView>
  </sheetViews>
  <sheetFormatPr defaultRowHeight="14.4" x14ac:dyDescent="0.3"/>
  <cols>
    <col min="2" max="2" width="60" bestFit="1" customWidth="1"/>
    <col min="3" max="3" width="16.44140625" customWidth="1"/>
    <col min="4" max="4" width="13.6640625" customWidth="1"/>
    <col min="5" max="5" width="11.44140625" bestFit="1" customWidth="1"/>
    <col min="6" max="6" width="11.6640625" customWidth="1"/>
    <col min="7" max="7" width="12.6640625" bestFit="1" customWidth="1"/>
    <col min="8" max="8" width="13.33203125" customWidth="1"/>
    <col min="9" max="9" width="19.6640625" bestFit="1" customWidth="1"/>
    <col min="10" max="10" width="10.88671875" bestFit="1" customWidth="1"/>
  </cols>
  <sheetData>
    <row r="1" spans="1:15" x14ac:dyDescent="0.3">
      <c r="A1" s="1" t="s">
        <v>0</v>
      </c>
      <c r="B1" s="1" t="s">
        <v>1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</row>
    <row r="2" spans="1:15" x14ac:dyDescent="0.3">
      <c r="A2" s="1">
        <v>1</v>
      </c>
      <c r="B2" s="1" t="s">
        <v>2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J2" s="1" t="s">
        <v>2</v>
      </c>
      <c r="K2" s="1">
        <v>0</v>
      </c>
      <c r="L2" s="1">
        <v>1</v>
      </c>
      <c r="M2" s="1">
        <v>2</v>
      </c>
      <c r="N2" s="1">
        <v>3</v>
      </c>
      <c r="O2" s="1">
        <v>4</v>
      </c>
    </row>
    <row r="3" spans="1:15" x14ac:dyDescent="0.3">
      <c r="A3" s="1">
        <v>2</v>
      </c>
      <c r="B3" s="2" t="s">
        <v>3</v>
      </c>
      <c r="C3" s="3">
        <v>269646</v>
      </c>
      <c r="D3" s="3"/>
      <c r="E3" s="3"/>
      <c r="F3" s="3"/>
      <c r="G3" s="3"/>
      <c r="J3" s="5" t="s">
        <v>10</v>
      </c>
      <c r="K3" s="5">
        <v>894000</v>
      </c>
      <c r="L3" s="5">
        <v>894000</v>
      </c>
      <c r="M3" s="5">
        <v>894000</v>
      </c>
      <c r="N3" s="5">
        <v>894000</v>
      </c>
      <c r="O3" s="5">
        <v>894000</v>
      </c>
    </row>
    <row r="4" spans="1:15" x14ac:dyDescent="0.3">
      <c r="A4" s="1">
        <v>3</v>
      </c>
      <c r="B4" s="2" t="s">
        <v>4</v>
      </c>
      <c r="C4" s="3">
        <v>7783</v>
      </c>
      <c r="D4" s="3">
        <v>7783</v>
      </c>
      <c r="E4" s="3">
        <v>7783</v>
      </c>
      <c r="F4" s="3">
        <v>7783</v>
      </c>
      <c r="G4" s="3">
        <v>7783</v>
      </c>
    </row>
    <row r="5" spans="1:15" x14ac:dyDescent="0.3">
      <c r="A5" s="1">
        <v>4</v>
      </c>
      <c r="B5" s="4" t="s">
        <v>11</v>
      </c>
      <c r="C5" s="3">
        <f>K3-SUM(C3:C4)</f>
        <v>616571</v>
      </c>
      <c r="D5" s="3">
        <f>L3-D4</f>
        <v>886217</v>
      </c>
      <c r="E5" s="3">
        <f>M3-E4</f>
        <v>886217</v>
      </c>
      <c r="F5" s="3">
        <f>N3-F4</f>
        <v>886217</v>
      </c>
      <c r="G5" s="3">
        <f>O3-G4</f>
        <v>886217</v>
      </c>
    </row>
    <row r="6" spans="1:15" x14ac:dyDescent="0.3">
      <c r="A6" s="1">
        <v>5</v>
      </c>
      <c r="B6" s="1" t="s">
        <v>5</v>
      </c>
      <c r="C6" s="3">
        <f>C5-C4</f>
        <v>608788</v>
      </c>
      <c r="D6" s="3">
        <f t="shared" ref="D6:G6" si="0">D5-D4</f>
        <v>878434</v>
      </c>
      <c r="E6" s="3">
        <f t="shared" si="0"/>
        <v>878434</v>
      </c>
      <c r="F6" s="3">
        <f t="shared" si="0"/>
        <v>878434</v>
      </c>
      <c r="G6" s="3">
        <f t="shared" si="0"/>
        <v>878434</v>
      </c>
    </row>
    <row r="7" spans="1:15" x14ac:dyDescent="0.3">
      <c r="A7" s="1">
        <v>6</v>
      </c>
      <c r="B7" s="1" t="s">
        <v>6</v>
      </c>
      <c r="C7" s="3">
        <f>C6-C3</f>
        <v>339142</v>
      </c>
      <c r="D7" s="3">
        <f>D5-D4</f>
        <v>878434</v>
      </c>
      <c r="E7" s="3">
        <f t="shared" ref="E7:G7" si="1">E5-E4</f>
        <v>878434</v>
      </c>
      <c r="F7" s="3">
        <f t="shared" si="1"/>
        <v>878434</v>
      </c>
      <c r="G7" s="3">
        <f t="shared" si="1"/>
        <v>878434</v>
      </c>
    </row>
    <row r="8" spans="1:15" x14ac:dyDescent="0.3">
      <c r="A8" s="1">
        <v>7</v>
      </c>
      <c r="B8" s="1" t="s">
        <v>7</v>
      </c>
      <c r="C8" s="3">
        <v>1</v>
      </c>
      <c r="D8" s="3">
        <v>0.86</v>
      </c>
      <c r="E8" s="3">
        <v>0.74</v>
      </c>
      <c r="F8" s="3">
        <v>0.64</v>
      </c>
      <c r="G8" s="3">
        <v>0.55000000000000004</v>
      </c>
    </row>
    <row r="9" spans="1:15" x14ac:dyDescent="0.3">
      <c r="A9" s="1">
        <v>8</v>
      </c>
      <c r="B9" s="1" t="s">
        <v>8</v>
      </c>
      <c r="C9" s="3">
        <f>C7*C8</f>
        <v>339142</v>
      </c>
      <c r="D9" s="3">
        <f t="shared" ref="D9:G9" si="2">D7*D8</f>
        <v>755453.24</v>
      </c>
      <c r="E9" s="3">
        <f t="shared" si="2"/>
        <v>650041.16</v>
      </c>
      <c r="F9" s="3">
        <f t="shared" si="2"/>
        <v>562197.76000000001</v>
      </c>
      <c r="G9" s="3">
        <f t="shared" si="2"/>
        <v>483138.7</v>
      </c>
    </row>
    <row r="10" spans="1:15" x14ac:dyDescent="0.3">
      <c r="A10" s="1">
        <v>9</v>
      </c>
      <c r="B10" s="1" t="s">
        <v>9</v>
      </c>
      <c r="C10" s="3"/>
      <c r="D10" s="3"/>
      <c r="E10" s="3"/>
      <c r="F10" s="3"/>
      <c r="G10" s="3"/>
    </row>
    <row r="15" spans="1:15" x14ac:dyDescent="0.3">
      <c r="A15" s="1" t="s">
        <v>0</v>
      </c>
      <c r="B15" s="1" t="s">
        <v>1</v>
      </c>
      <c r="C15" s="1">
        <v>2024</v>
      </c>
      <c r="D15" s="1">
        <v>2025</v>
      </c>
      <c r="E15" s="1">
        <v>2026</v>
      </c>
      <c r="F15" s="1">
        <v>2027</v>
      </c>
      <c r="G15" s="1">
        <v>2028</v>
      </c>
      <c r="J15" s="1" t="s">
        <v>2</v>
      </c>
      <c r="K15" s="1">
        <v>0</v>
      </c>
      <c r="L15" s="1">
        <v>1</v>
      </c>
      <c r="M15" s="1">
        <v>2</v>
      </c>
      <c r="N15" s="1">
        <v>3</v>
      </c>
      <c r="O15" s="1">
        <v>4</v>
      </c>
    </row>
    <row r="16" spans="1:15" x14ac:dyDescent="0.3">
      <c r="A16" s="1">
        <v>1</v>
      </c>
      <c r="B16" s="1" t="s">
        <v>2</v>
      </c>
      <c r="C16" s="1">
        <v>0</v>
      </c>
      <c r="D16" s="1">
        <v>1</v>
      </c>
      <c r="E16" s="1">
        <v>2</v>
      </c>
      <c r="F16" s="1">
        <v>3</v>
      </c>
      <c r="G16" s="1">
        <v>4</v>
      </c>
      <c r="J16" s="5" t="s">
        <v>10</v>
      </c>
      <c r="K16" s="5">
        <v>366000</v>
      </c>
      <c r="L16" s="5">
        <v>366000</v>
      </c>
      <c r="M16" s="5">
        <v>366000</v>
      </c>
      <c r="N16" s="5">
        <v>366000</v>
      </c>
      <c r="O16" s="5">
        <v>366000</v>
      </c>
    </row>
    <row r="17" spans="1:10" x14ac:dyDescent="0.3">
      <c r="A17" s="1">
        <v>2</v>
      </c>
      <c r="B17" s="2" t="s">
        <v>3</v>
      </c>
      <c r="C17" s="7">
        <v>269646</v>
      </c>
      <c r="D17" s="7"/>
      <c r="E17" s="7"/>
      <c r="F17" s="7"/>
      <c r="G17" s="7"/>
    </row>
    <row r="18" spans="1:10" x14ac:dyDescent="0.3">
      <c r="A18" s="1">
        <v>3</v>
      </c>
      <c r="B18" s="2" t="s">
        <v>4</v>
      </c>
      <c r="C18" s="7">
        <v>7783</v>
      </c>
      <c r="D18" s="7">
        <v>7783</v>
      </c>
      <c r="E18" s="7">
        <v>7783</v>
      </c>
      <c r="F18" s="7">
        <v>7783</v>
      </c>
      <c r="G18" s="7">
        <v>7783</v>
      </c>
    </row>
    <row r="19" spans="1:10" x14ac:dyDescent="0.3">
      <c r="A19" s="1">
        <v>4</v>
      </c>
      <c r="B19" s="4" t="s">
        <v>11</v>
      </c>
      <c r="C19" s="7">
        <f>K16-SUM(C17:C18)</f>
        <v>88571</v>
      </c>
      <c r="D19" s="7">
        <f>L16-D18</f>
        <v>358217</v>
      </c>
      <c r="E19" s="7">
        <f>M16-E18</f>
        <v>358217</v>
      </c>
      <c r="F19" s="7">
        <f>N16-F18</f>
        <v>358217</v>
      </c>
      <c r="G19" s="7">
        <f>O16-G18</f>
        <v>358217</v>
      </c>
    </row>
    <row r="20" spans="1:10" x14ac:dyDescent="0.3">
      <c r="A20" s="1">
        <v>5</v>
      </c>
      <c r="B20" s="1" t="s">
        <v>5</v>
      </c>
      <c r="C20" s="7">
        <f>C19-C18</f>
        <v>80788</v>
      </c>
      <c r="D20" s="7">
        <f>D19-D18</f>
        <v>350434</v>
      </c>
      <c r="E20" s="7">
        <f t="shared" ref="E20" si="3">E19-E18</f>
        <v>350434</v>
      </c>
      <c r="F20" s="7">
        <f t="shared" ref="F20" si="4">F19-F18</f>
        <v>350434</v>
      </c>
      <c r="G20" s="7">
        <f t="shared" ref="G20" si="5">G19-G18</f>
        <v>350434</v>
      </c>
    </row>
    <row r="21" spans="1:10" x14ac:dyDescent="0.3">
      <c r="A21" s="1">
        <v>6</v>
      </c>
      <c r="B21" s="1" t="s">
        <v>6</v>
      </c>
      <c r="C21" s="7">
        <f>C20-C17</f>
        <v>-188858</v>
      </c>
      <c r="D21" s="7">
        <f>D19-D18</f>
        <v>350434</v>
      </c>
      <c r="E21" s="7">
        <f t="shared" ref="E21:G21" si="6">E19-E18</f>
        <v>350434</v>
      </c>
      <c r="F21" s="7">
        <f t="shared" si="6"/>
        <v>350434</v>
      </c>
      <c r="G21" s="7">
        <f t="shared" si="6"/>
        <v>350434</v>
      </c>
    </row>
    <row r="22" spans="1:10" x14ac:dyDescent="0.3">
      <c r="A22" s="1">
        <v>7</v>
      </c>
      <c r="B22" s="1" t="s">
        <v>7</v>
      </c>
      <c r="C22" s="6">
        <v>1</v>
      </c>
      <c r="D22" s="6">
        <v>0.86</v>
      </c>
      <c r="E22" s="6">
        <v>0.74</v>
      </c>
      <c r="F22" s="6">
        <v>0.64</v>
      </c>
      <c r="G22" s="6">
        <v>0.55000000000000004</v>
      </c>
    </row>
    <row r="23" spans="1:10" x14ac:dyDescent="0.3">
      <c r="A23" s="1">
        <v>8</v>
      </c>
      <c r="B23" s="1" t="s">
        <v>8</v>
      </c>
      <c r="C23" s="7">
        <f>C21*C22</f>
        <v>-188858</v>
      </c>
      <c r="D23" s="7">
        <f t="shared" ref="D23:G23" si="7">D21*D22</f>
        <v>301373.24</v>
      </c>
      <c r="E23" s="7">
        <f t="shared" si="7"/>
        <v>259321.16</v>
      </c>
      <c r="F23" s="7">
        <f t="shared" si="7"/>
        <v>224277.76000000001</v>
      </c>
      <c r="G23" s="7">
        <f t="shared" si="7"/>
        <v>192738.7</v>
      </c>
    </row>
    <row r="24" spans="1:10" x14ac:dyDescent="0.3">
      <c r="A24" s="1">
        <v>9</v>
      </c>
      <c r="B24" s="1" t="s">
        <v>9</v>
      </c>
      <c r="C24" s="7">
        <f>C23</f>
        <v>-188858</v>
      </c>
      <c r="D24" s="7">
        <f>C24+D23</f>
        <v>112515.23999999999</v>
      </c>
      <c r="E24" s="7">
        <f>D24+E23</f>
        <v>371836.4</v>
      </c>
      <c r="F24" s="7">
        <f>E24+F23</f>
        <v>596114.16</v>
      </c>
      <c r="G24" s="7">
        <f>F24+G23</f>
        <v>788852.8600000001</v>
      </c>
      <c r="I24" t="s">
        <v>12</v>
      </c>
      <c r="J24" s="8">
        <f>SUM(C23:G23)</f>
        <v>788852.8600000001</v>
      </c>
    </row>
    <row r="25" spans="1:10" x14ac:dyDescent="0.3">
      <c r="I25" t="s">
        <v>13</v>
      </c>
      <c r="J25" s="9">
        <f>16%+4.5%+16%*4.5%</f>
        <v>0.21220000000000003</v>
      </c>
    </row>
    <row r="28" spans="1:10" x14ac:dyDescent="0.3">
      <c r="A28" s="10" t="s">
        <v>14</v>
      </c>
      <c r="B28" s="10"/>
      <c r="C28" s="10"/>
      <c r="D28" s="10"/>
      <c r="E28" s="10"/>
      <c r="F28" s="10"/>
      <c r="G28" s="10"/>
    </row>
    <row r="30" spans="1:10" x14ac:dyDescent="0.3">
      <c r="A30" s="1" t="s">
        <v>0</v>
      </c>
      <c r="B30" s="1" t="s">
        <v>1</v>
      </c>
      <c r="C30" s="1">
        <v>2024</v>
      </c>
      <c r="D30" s="1">
        <v>2025</v>
      </c>
      <c r="E30" s="1">
        <v>2026</v>
      </c>
      <c r="F30" s="1">
        <v>2027</v>
      </c>
      <c r="G30" s="1">
        <v>2028</v>
      </c>
    </row>
    <row r="31" spans="1:10" x14ac:dyDescent="0.3">
      <c r="A31" s="1">
        <v>1</v>
      </c>
      <c r="B31" s="1" t="s">
        <v>2</v>
      </c>
      <c r="C31" s="7">
        <v>0</v>
      </c>
      <c r="D31" s="7">
        <v>1</v>
      </c>
      <c r="E31" s="7">
        <v>2</v>
      </c>
      <c r="F31" s="7">
        <v>3</v>
      </c>
      <c r="G31" s="7">
        <v>4</v>
      </c>
    </row>
    <row r="32" spans="1:10" x14ac:dyDescent="0.3">
      <c r="A32" s="1">
        <v>2</v>
      </c>
      <c r="B32" s="1" t="s">
        <v>3</v>
      </c>
      <c r="C32" s="7">
        <v>269646</v>
      </c>
      <c r="D32" s="7"/>
      <c r="E32" s="7"/>
      <c r="F32" s="7"/>
      <c r="G32" s="7"/>
    </row>
    <row r="33" spans="1:11" x14ac:dyDescent="0.3">
      <c r="A33" s="1">
        <v>3</v>
      </c>
      <c r="B33" s="1" t="s">
        <v>4</v>
      </c>
      <c r="C33" s="7">
        <v>7783</v>
      </c>
      <c r="D33" s="7">
        <v>7783</v>
      </c>
      <c r="E33" s="7">
        <v>7783</v>
      </c>
      <c r="F33" s="7">
        <v>7783</v>
      </c>
      <c r="G33" s="7">
        <v>7783</v>
      </c>
    </row>
    <row r="34" spans="1:11" x14ac:dyDescent="0.3">
      <c r="A34" s="1">
        <v>4</v>
      </c>
      <c r="B34" s="1" t="s">
        <v>11</v>
      </c>
      <c r="C34" s="7">
        <v>88571</v>
      </c>
      <c r="D34" s="7">
        <v>358217</v>
      </c>
      <c r="E34" s="7">
        <v>358217</v>
      </c>
      <c r="F34" s="7">
        <v>358217</v>
      </c>
      <c r="G34" s="7">
        <v>358217</v>
      </c>
    </row>
    <row r="35" spans="1:11" x14ac:dyDescent="0.3">
      <c r="A35" s="1">
        <v>5</v>
      </c>
      <c r="B35" s="1" t="s">
        <v>5</v>
      </c>
      <c r="C35" s="7">
        <v>80788</v>
      </c>
      <c r="D35" s="7">
        <v>350434</v>
      </c>
      <c r="E35" s="7">
        <v>350434</v>
      </c>
      <c r="F35" s="7">
        <v>350434</v>
      </c>
      <c r="G35" s="7">
        <v>350434</v>
      </c>
    </row>
    <row r="36" spans="1:11" x14ac:dyDescent="0.3">
      <c r="A36" s="1">
        <v>6</v>
      </c>
      <c r="B36" s="1" t="s">
        <v>6</v>
      </c>
      <c r="C36" s="7">
        <v>-188858</v>
      </c>
      <c r="D36" s="7">
        <v>350434</v>
      </c>
      <c r="E36" s="7">
        <v>350434</v>
      </c>
      <c r="F36" s="7">
        <v>350434</v>
      </c>
      <c r="G36" s="7">
        <v>350434</v>
      </c>
    </row>
    <row r="37" spans="1:11" x14ac:dyDescent="0.3">
      <c r="A37" s="1">
        <v>7</v>
      </c>
      <c r="B37" s="1" t="s">
        <v>38</v>
      </c>
      <c r="C37" s="7">
        <f>C36</f>
        <v>-188858</v>
      </c>
      <c r="D37" s="7">
        <f>C37+D36</f>
        <v>161576</v>
      </c>
      <c r="E37" s="7">
        <f>D37+E36</f>
        <v>512010</v>
      </c>
      <c r="F37" s="7">
        <f>E37+F36</f>
        <v>862444</v>
      </c>
      <c r="G37" s="7">
        <f>F37+G36</f>
        <v>1212878</v>
      </c>
    </row>
    <row r="38" spans="1:11" x14ac:dyDescent="0.3">
      <c r="A38" s="1">
        <v>8</v>
      </c>
      <c r="B38" s="1" t="s">
        <v>7</v>
      </c>
      <c r="C38" s="6">
        <v>1</v>
      </c>
      <c r="D38" s="6">
        <f>1/(1+$J$25)^D31</f>
        <v>0.82494637848539853</v>
      </c>
      <c r="E38" s="6">
        <f t="shared" ref="E38:G38" si="8">1/(1+$J$25)^E31</f>
        <v>0.68053652737617432</v>
      </c>
      <c r="F38" s="6">
        <f t="shared" si="8"/>
        <v>0.56140614368600428</v>
      </c>
      <c r="G38" s="6">
        <f t="shared" si="8"/>
        <v>0.46312996509322246</v>
      </c>
    </row>
    <row r="39" spans="1:11" x14ac:dyDescent="0.3">
      <c r="A39" s="1">
        <v>9</v>
      </c>
      <c r="B39" s="1" t="s">
        <v>8</v>
      </c>
      <c r="C39" s="7">
        <f>C36*C38</f>
        <v>-188858</v>
      </c>
      <c r="D39" s="7">
        <f t="shared" ref="D39:G39" si="9">D36*D38</f>
        <v>289089.25919815217</v>
      </c>
      <c r="E39" s="7">
        <f t="shared" si="9"/>
        <v>238483.13743454227</v>
      </c>
      <c r="F39" s="7">
        <f t="shared" si="9"/>
        <v>196735.80055646121</v>
      </c>
      <c r="G39" s="7">
        <f t="shared" si="9"/>
        <v>162296.48618747832</v>
      </c>
    </row>
    <row r="40" spans="1:11" x14ac:dyDescent="0.3">
      <c r="A40" s="1">
        <v>10</v>
      </c>
      <c r="B40" s="1" t="s">
        <v>9</v>
      </c>
      <c r="C40" s="7">
        <v>-188858</v>
      </c>
      <c r="D40" s="7">
        <f>C40+D39</f>
        <v>100231.25919815217</v>
      </c>
      <c r="E40" s="7">
        <f>D40+E39</f>
        <v>338714.39663269441</v>
      </c>
      <c r="F40" s="7">
        <f>E40+F39</f>
        <v>535450.19718915562</v>
      </c>
      <c r="G40" s="7">
        <f>F40+G39</f>
        <v>697746.68337663391</v>
      </c>
    </row>
    <row r="41" spans="1:11" x14ac:dyDescent="0.3">
      <c r="A41" s="1">
        <v>11</v>
      </c>
      <c r="B41" s="1" t="s">
        <v>42</v>
      </c>
      <c r="C41" s="6">
        <f>(1+16%)^($G$31-C31)</f>
        <v>1.8106393599999997</v>
      </c>
      <c r="D41" s="6">
        <f>(1+16%)^($G$31-D31)</f>
        <v>1.5608959999999998</v>
      </c>
      <c r="E41" s="6">
        <f>(1+16%)^($G$31-E31)</f>
        <v>1.3455999999999999</v>
      </c>
      <c r="F41" s="6">
        <f>(1+16%)^($G$31-F31)</f>
        <v>1.1599999999999999</v>
      </c>
      <c r="G41" s="6">
        <f>(1+16%)^($G$31-G31)</f>
        <v>1</v>
      </c>
    </row>
    <row r="42" spans="1:11" ht="28.8" x14ac:dyDescent="0.3">
      <c r="A42" s="23">
        <v>12</v>
      </c>
      <c r="B42" s="2" t="s">
        <v>43</v>
      </c>
      <c r="C42" s="1">
        <f>C41*C36</f>
        <v>-341953.72825087997</v>
      </c>
      <c r="D42" s="1">
        <f t="shared" ref="D42:G42" si="10">D41*D36</f>
        <v>546991.02886399999</v>
      </c>
      <c r="E42" s="1">
        <f t="shared" si="10"/>
        <v>471543.99039999995</v>
      </c>
      <c r="F42" s="1">
        <f t="shared" si="10"/>
        <v>406503.43999999994</v>
      </c>
      <c r="G42" s="1">
        <f t="shared" si="10"/>
        <v>350434</v>
      </c>
    </row>
    <row r="43" spans="1:11" ht="28.8" x14ac:dyDescent="0.3">
      <c r="A43" s="1">
        <v>13</v>
      </c>
      <c r="B43" s="2" t="s">
        <v>44</v>
      </c>
      <c r="C43" s="1">
        <f>C42</f>
        <v>-341953.72825087997</v>
      </c>
      <c r="D43" s="1">
        <f>C43+D42</f>
        <v>205037.30061312002</v>
      </c>
      <c r="E43" s="1">
        <f>D43+E42</f>
        <v>676581.29101311998</v>
      </c>
      <c r="F43" s="1">
        <f>E43+F42</f>
        <v>1083084.7310131199</v>
      </c>
      <c r="G43" s="1">
        <f>F43+G42</f>
        <v>1433518.7310131199</v>
      </c>
    </row>
    <row r="45" spans="1:11" x14ac:dyDescent="0.3">
      <c r="D45" s="10" t="s">
        <v>15</v>
      </c>
      <c r="E45" s="10"/>
      <c r="F45" s="10"/>
      <c r="G45" s="10"/>
      <c r="H45" s="10"/>
      <c r="I45" s="10"/>
      <c r="J45" s="19"/>
      <c r="K45" s="19"/>
    </row>
    <row r="47" spans="1:11" x14ac:dyDescent="0.3">
      <c r="D47" s="11" t="s">
        <v>16</v>
      </c>
      <c r="E47" s="11"/>
      <c r="F47" s="11"/>
      <c r="G47" s="11" t="s">
        <v>17</v>
      </c>
      <c r="H47" s="11" t="s">
        <v>18</v>
      </c>
      <c r="I47" s="11" t="s">
        <v>19</v>
      </c>
    </row>
    <row r="48" spans="1:11" x14ac:dyDescent="0.3">
      <c r="D48" s="11"/>
      <c r="E48" s="11"/>
      <c r="F48" s="11"/>
      <c r="G48" s="11"/>
      <c r="H48" s="11"/>
      <c r="I48" s="11"/>
    </row>
    <row r="49" spans="4:10" ht="16.8" customHeight="1" x14ac:dyDescent="0.3">
      <c r="D49" s="13" t="s">
        <v>20</v>
      </c>
      <c r="E49" s="14"/>
      <c r="F49" s="15"/>
      <c r="G49" s="20" t="s">
        <v>27</v>
      </c>
      <c r="H49" s="21" t="s">
        <v>35</v>
      </c>
      <c r="I49" s="7">
        <f>C17</f>
        <v>269646</v>
      </c>
    </row>
    <row r="50" spans="4:10" ht="31.2" customHeight="1" x14ac:dyDescent="0.3">
      <c r="D50" s="13" t="s">
        <v>21</v>
      </c>
      <c r="E50" s="14"/>
      <c r="F50" s="15"/>
      <c r="G50" s="20" t="s">
        <v>28</v>
      </c>
      <c r="H50" s="21" t="s">
        <v>36</v>
      </c>
      <c r="I50" s="22">
        <f>16%</f>
        <v>0.16</v>
      </c>
    </row>
    <row r="51" spans="4:10" ht="41.4" customHeight="1" x14ac:dyDescent="0.3">
      <c r="D51" s="16" t="s">
        <v>22</v>
      </c>
      <c r="E51" s="17"/>
      <c r="F51" s="18"/>
      <c r="G51" s="20" t="s">
        <v>12</v>
      </c>
      <c r="H51" s="21" t="s">
        <v>35</v>
      </c>
      <c r="I51" s="7">
        <f>G24</f>
        <v>788852.8600000001</v>
      </c>
    </row>
    <row r="52" spans="4:10" ht="30" customHeight="1" x14ac:dyDescent="0.3">
      <c r="D52" s="16" t="s">
        <v>23</v>
      </c>
      <c r="E52" s="17"/>
      <c r="F52" s="18"/>
      <c r="G52" s="20" t="s">
        <v>29</v>
      </c>
      <c r="H52" s="21" t="s">
        <v>36</v>
      </c>
      <c r="I52" s="22">
        <f>IRR(C36:G36)</f>
        <v>1.8264689844897135</v>
      </c>
    </row>
    <row r="53" spans="4:10" ht="31.2" customHeight="1" x14ac:dyDescent="0.3">
      <c r="D53" s="16" t="s">
        <v>24</v>
      </c>
      <c r="E53" s="17"/>
      <c r="F53" s="18"/>
      <c r="G53" s="20" t="s">
        <v>30</v>
      </c>
      <c r="H53" s="21" t="s">
        <v>41</v>
      </c>
      <c r="I53" s="1">
        <v>0.54</v>
      </c>
      <c r="J53" t="s">
        <v>39</v>
      </c>
    </row>
    <row r="54" spans="4:10" ht="31.2" customHeight="1" x14ac:dyDescent="0.3">
      <c r="D54" s="11" t="s">
        <v>25</v>
      </c>
      <c r="E54" s="11"/>
      <c r="F54" s="11"/>
      <c r="G54" s="20" t="s">
        <v>31</v>
      </c>
      <c r="H54" s="21" t="s">
        <v>41</v>
      </c>
      <c r="I54" s="1">
        <v>0.63</v>
      </c>
      <c r="J54" t="s">
        <v>40</v>
      </c>
    </row>
    <row r="55" spans="4:10" ht="43.8" customHeight="1" x14ac:dyDescent="0.3">
      <c r="D55" s="11" t="s">
        <v>26</v>
      </c>
      <c r="E55" s="11"/>
      <c r="F55" s="11"/>
      <c r="G55" s="20" t="s">
        <v>32</v>
      </c>
      <c r="H55" s="21" t="s">
        <v>37</v>
      </c>
      <c r="I55" s="6">
        <f>I51/I49</f>
        <v>2.9255129317698021</v>
      </c>
    </row>
    <row r="56" spans="4:10" ht="15.6" x14ac:dyDescent="0.3">
      <c r="D56" s="12" t="s">
        <v>34</v>
      </c>
      <c r="E56" s="12"/>
      <c r="F56" s="12"/>
      <c r="G56" s="20" t="s">
        <v>33</v>
      </c>
      <c r="H56" s="21" t="s">
        <v>35</v>
      </c>
      <c r="I56" s="7">
        <f>G43</f>
        <v>1433518.7310131199</v>
      </c>
    </row>
  </sheetData>
  <mergeCells count="14">
    <mergeCell ref="D55:F55"/>
    <mergeCell ref="D56:F56"/>
    <mergeCell ref="D45:I45"/>
    <mergeCell ref="D49:F49"/>
    <mergeCell ref="D50:F50"/>
    <mergeCell ref="D51:F51"/>
    <mergeCell ref="D52:F52"/>
    <mergeCell ref="D53:F53"/>
    <mergeCell ref="D54:F54"/>
    <mergeCell ref="A28:G28"/>
    <mergeCell ref="D47:F48"/>
    <mergeCell ref="G47:G48"/>
    <mergeCell ref="H47:H48"/>
    <mergeCell ref="I47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UserNC</dc:creator>
  <cp:lastModifiedBy>UserNC</cp:lastModifiedBy>
  <dcterms:created xsi:type="dcterms:W3CDTF">2024-05-26T05:44:00Z</dcterms:created>
  <dcterms:modified xsi:type="dcterms:W3CDTF">2024-05-26T14:08:13Z</dcterms:modified>
</cp:coreProperties>
</file>